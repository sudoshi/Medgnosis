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udoshi/Desktop/"/>
    </mc:Choice>
  </mc:AlternateContent>
  <xr:revisionPtr revIDLastSave="0" documentId="8_{39B667F8-C372-0141-AE75-AC17BC441F2E}" xr6:coauthVersionLast="47" xr6:coauthVersionMax="47" xr10:uidLastSave="{00000000-0000-0000-0000-000000000000}"/>
  <bookViews>
    <workbookView xWindow="0" yWindow="500" windowWidth="42160" windowHeight="28800" tabRatio="500" xr2:uid="{00000000-000D-0000-FFFF-FFFF00000000}"/>
  </bookViews>
  <sheets>
    <sheet name="Care Gap Bundles 16-30" sheetId="1" r:id="rId1"/>
    <sheet name="Bundle Summary 16-30" sheetId="2" r:id="rId2"/>
    <sheet name="Patient Example" sheetId="3" r:id="rId3"/>
    <sheet name="Overlap Map 16-30" sheetId="4" r:id="rId4"/>
    <sheet name="Master Index (All 30)" sheetId="5" r:id="rId5"/>
  </sheets>
  <definedNames>
    <definedName name="_xlnm._FilterDatabase" localSheetId="0" hidden="1">'Care Gap Bundles 16-30'!$A$1:$G$1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5" l="1"/>
  <c r="B40" i="3"/>
  <c r="B39" i="3"/>
  <c r="B38" i="3"/>
  <c r="B37" i="3"/>
  <c r="B41" i="3" s="1"/>
  <c r="D17" i="2"/>
</calcChain>
</file>

<file path=xl/sharedStrings.xml><?xml version="1.0" encoding="utf-8"?>
<sst xmlns="http://schemas.openxmlformats.org/spreadsheetml/2006/main" count="1148" uniqueCount="751">
  <si>
    <t>Measure ID</t>
  </si>
  <si>
    <t>Condition</t>
  </si>
  <si>
    <t>Care Gap Measure</t>
  </si>
  <si>
    <t>Description &amp; Action Required</t>
  </si>
  <si>
    <t>Frequency</t>
  </si>
  <si>
    <t>eCQM / Guideline Reference</t>
  </si>
  <si>
    <t>Bundle Size</t>
  </si>
  <si>
    <t>Alzheimer’s Disease &amp; Related Dementias  (G30.x / F02.x)</t>
  </si>
  <si>
    <t>ALZ-01</t>
  </si>
  <si>
    <t>Alzheimer’s Disease &amp; Related Dementias</t>
  </si>
  <si>
    <t>Cognitive Assessment (Standardized)</t>
  </si>
  <si>
    <t>Administer and document standardized cognitive tool (MMSE, MoCA, or SLUMS); track score longitudinally</t>
  </si>
  <si>
    <t>Annually (every 6 months if declining)</t>
  </si>
  <si>
    <t>CMS149v12 / NQF 0553</t>
  </si>
  <si>
    <t>ALZ-02</t>
  </si>
  <si>
    <t>Dementia Care Plan Created</t>
  </si>
  <si>
    <t>Establish and document a person-centered care plan addressing cognition, function, behavioral symptoms, caregiver needs, and safety</t>
  </si>
  <si>
    <t>At diagnosis + annually</t>
  </si>
  <si>
    <t>ALZ-03</t>
  </si>
  <si>
    <t>Functional Status Assessment (ADL/IADL)</t>
  </si>
  <si>
    <t>Document activities of daily living and instrumental ADL status using validated scale (Katz ADL, Lawton IADL)</t>
  </si>
  <si>
    <t>Every 6 months</t>
  </si>
  <si>
    <t>CMS149v12 / Alzheimer’s Assn</t>
  </si>
  <si>
    <t>ALZ-04</t>
  </si>
  <si>
    <t>Behavioral &amp; Psychological Symptom Review</t>
  </si>
  <si>
    <t>Screen for agitation, depression, psychosis, sleep disturbance, and wandering; document non-pharmacologic interventions first</t>
  </si>
  <si>
    <t>Every visit</t>
  </si>
  <si>
    <t>APA / AGS Guideline</t>
  </si>
  <si>
    <t>ALZ-05</t>
  </si>
  <si>
    <t>Medication Safety Review</t>
  </si>
  <si>
    <t>Review all medications for anticholinergic burden, sedatives, and potentially inappropriate medications (Beers Criteria); deprescribe as appropriate</t>
  </si>
  <si>
    <t>AGS Beers Criteria / CMS</t>
  </si>
  <si>
    <t>ALZ-06</t>
  </si>
  <si>
    <t>Caregiver Assessment &amp; Support</t>
  </si>
  <si>
    <t>Screen primary caregiver for burden and depression (Zarit Burden Interview or PHQ-2); document referral to support services</t>
  </si>
  <si>
    <t>Annually</t>
  </si>
  <si>
    <t>CMS149v12 / NIA</t>
  </si>
  <si>
    <t>ALZ-07</t>
  </si>
  <si>
    <t>Advance Care Planning Documented</t>
  </si>
  <si>
    <t>Document goals of care discussion, advance directives, healthcare proxy designation, and POLST/MOLST if appropriate</t>
  </si>
  <si>
    <t>CMS Quality / ACP</t>
  </si>
  <si>
    <t>ALZ-08</t>
  </si>
  <si>
    <t>Fall Risk &amp; Safety Assessment</t>
  </si>
  <si>
    <t>Evaluate fall risk, driving safety, home environment hazards, and wandering risk; document safety plan</t>
  </si>
  <si>
    <t>AGS / Alzheimer’s Assn</t>
  </si>
  <si>
    <t>ALZ-09</t>
  </si>
  <si>
    <t>Depression Screening (PHQ-9)</t>
  </si>
  <si>
    <t>Screen for comorbid depression which is highly prevalent in dementia; distinguish from apathy</t>
  </si>
  <si>
    <t>CMS159v12 / APA</t>
  </si>
  <si>
    <t>Stroke / Cerebrovascular Disease (Secondary Prevention)  (I63.x / I67.x)</t>
  </si>
  <si>
    <t>STR-01</t>
  </si>
  <si>
    <t>Stroke / Cerebrovascular Disease (Secondary Prevention)</t>
  </si>
  <si>
    <t>Antiplatelet or Anticoagulant Therapy</t>
  </si>
  <si>
    <t>Confirm aspirin, clopidogrel, or aspirin/dipyridamole for ischemic stroke; anticoagulant if cardioembolic (AFib)</t>
  </si>
  <si>
    <t>CMS164v12 / AHA/ASA</t>
  </si>
  <si>
    <t>STR-02</t>
  </si>
  <si>
    <t>High-Intensity Statin Therapy</t>
  </si>
  <si>
    <t>Confirm high-intensity statin prescribed for atherosclerotic ischemic stroke/TIA</t>
  </si>
  <si>
    <t>CMS347v7 / AHA/ASA</t>
  </si>
  <si>
    <t>STR-03</t>
  </si>
  <si>
    <t>Blood Pressure Control (&lt;130/80)</t>
  </si>
  <si>
    <t>Measure and document BP; target &lt;130/80 for secondary stroke prevention</t>
  </si>
  <si>
    <t>CMS165v12 / AHA/ASA</t>
  </si>
  <si>
    <t>STR-04</t>
  </si>
  <si>
    <t>HbA1c / Glucose Management (if Diabetic)</t>
  </si>
  <si>
    <t>For patients with comorbid DM: ensure HbA1c monitoring and glycemic control</t>
  </si>
  <si>
    <t>CMS122v12 / AHA/ASA</t>
  </si>
  <si>
    <t>STR-05</t>
  </si>
  <si>
    <t>Smoking Cessation Intervention</t>
  </si>
  <si>
    <t>Screen tobacco use; provide cessation counseling and pharmacotherapy</t>
  </si>
  <si>
    <t>CMS138v12 / AHA/ASA</t>
  </si>
  <si>
    <t>STR-06</t>
  </si>
  <si>
    <t>Carotid Imaging (if Anterior Circulation)</t>
  </si>
  <si>
    <t>For anterior circulation stroke: document carotid duplex ultrasound or CTA; refer for CEA/CAS if &gt;70% stenosis</t>
  </si>
  <si>
    <t>At event + per indication</t>
  </si>
  <si>
    <t>AHA/ASA Guideline</t>
  </si>
  <si>
    <t>STR-07</t>
  </si>
  <si>
    <t>Functional &amp; Disability Assessment</t>
  </si>
  <si>
    <t>Document modified Rankin Scale (mRS) score; assess need for rehabilitation services (PT, OT, Speech)</t>
  </si>
  <si>
    <t>Every visit (first year)</t>
  </si>
  <si>
    <t>STR-08</t>
  </si>
  <si>
    <t>Post-Stroke Depression Screening</t>
  </si>
  <si>
    <t>Screen for depression using PHQ-9; post-stroke depression affects 30–50% of survivors</t>
  </si>
  <si>
    <t>Every visit (first year), then annually</t>
  </si>
  <si>
    <t>AHA/ASA / CMS159v12</t>
  </si>
  <si>
    <t>Chronic Pain &amp; Opioid Use Management  (G89.x / F11.x)</t>
  </si>
  <si>
    <t>PAIN-01</t>
  </si>
  <si>
    <t>Chronic Pain &amp; Opioid Use Management</t>
  </si>
  <si>
    <t>Pain Functional Assessment (PEG Scale)</t>
  </si>
  <si>
    <t>Document pain intensity and functional interference using PEG (Pain, Enjoyment, General Activity) or similar validated tool</t>
  </si>
  <si>
    <t>CDC Opioid Guideline 2022</t>
  </si>
  <si>
    <t>PAIN-02</t>
  </si>
  <si>
    <t>Opioid Risk Stratification (ORT)</t>
  </si>
  <si>
    <t>For patients on or being considered for opioids: complete Opioid Risk Tool or DIRE score; document risk category</t>
  </si>
  <si>
    <t>At initiation + annually</t>
  </si>
  <si>
    <t>CDC Opioid Guideline</t>
  </si>
  <si>
    <t>PAIN-03</t>
  </si>
  <si>
    <t>Prescription Drug Monitoring Program (PDMP) Check</t>
  </si>
  <si>
    <t>Query state PDMP before prescribing opioids and at minimum every 3 months during chronic therapy</t>
  </si>
  <si>
    <t>Every 3 months (minimum)</t>
  </si>
  <si>
    <t>CDC Guideline / State Law</t>
  </si>
  <si>
    <t>PAIN-04</t>
  </si>
  <si>
    <t>Urine Drug Screening</t>
  </si>
  <si>
    <t>Order urine drug screen to confirm adherence and detect undisclosed substances; document results</t>
  </si>
  <si>
    <t>At initiation + at least annually</t>
  </si>
  <si>
    <t>PAIN-05</t>
  </si>
  <si>
    <t>Opioid Treatment Agreement</t>
  </si>
  <si>
    <t>Document signed controlled substance agreement outlining expectations, monitoring, and tapering conditions</t>
  </si>
  <si>
    <t>CDC Guideline / CMS</t>
  </si>
  <si>
    <t>PAIN-06</t>
  </si>
  <si>
    <t>Naloxone Co-Prescribing</t>
  </si>
  <si>
    <t>Prescribe naloxone for patients on ≥50 MME/day or with concurrent benzodiazepine use or substance use history</t>
  </si>
  <si>
    <t>CDC Guideline / CMS Quality</t>
  </si>
  <si>
    <t>PAIN-07</t>
  </si>
  <si>
    <t>Non-Opioid &amp; Multimodal Therapy Review</t>
  </si>
  <si>
    <t>Document consideration/use of non-opioid therapies: NSAIDs, duloxetine, gabapentinoids, PT, CBT, acupuncture, interventional procedures</t>
  </si>
  <si>
    <t>CDC Guideline / AHRQ</t>
  </si>
  <si>
    <t>PAIN-08</t>
  </si>
  <si>
    <t>MME Dose Assessment &amp; Tapering Plan</t>
  </si>
  <si>
    <t>Calculate total daily MME; document tapering plan if ≥90 MME/day or if risks outweigh benefits</t>
  </si>
  <si>
    <t>PAIN-09</t>
  </si>
  <si>
    <t>Behavioral Health Screening</t>
  </si>
  <si>
    <t>Screen for comorbid depression, anxiety, PTSD, and substance use disorder; refer for co-management</t>
  </si>
  <si>
    <t>CDC Guideline / CMS159v12</t>
  </si>
  <si>
    <t>Osteoarthritis (OA)  (M15–M19)</t>
  </si>
  <si>
    <t>OA-01</t>
  </si>
  <si>
    <t>Osteoarthritis (OA)</t>
  </si>
  <si>
    <t>Pain &amp; Functional Assessment</t>
  </si>
  <si>
    <t>Document pain severity (NRS 0–10) and functional status using validated tool (WOMAC, KOOS, or HOOS)</t>
  </si>
  <si>
    <t>ACR / AAOS Guideline</t>
  </si>
  <si>
    <t>OA-02</t>
  </si>
  <si>
    <t>Weight Management Counseling</t>
  </si>
  <si>
    <t>For BMI ≥25: document weight loss counseling; 5–10% weight loss reduces knee load by 20–40%</t>
  </si>
  <si>
    <t>ACR Guideline / CMS69v12</t>
  </si>
  <si>
    <t>OA-03</t>
  </si>
  <si>
    <t>Exercise &amp; Physical Therapy Prescription</t>
  </si>
  <si>
    <t>Prescribe structured exercise program (low-impact aerobic + strengthening); refer to PT for supervised program</t>
  </si>
  <si>
    <t>ACR / OARSI Guideline</t>
  </si>
  <si>
    <t>OA-04</t>
  </si>
  <si>
    <t>Pharmacotherapy Optimization</t>
  </si>
  <si>
    <t>Review analgesic regimen: topical NSAIDs first-line for knee, oral NSAIDs with GI/CV risk assessment, avoid chronic opioids</t>
  </si>
  <si>
    <t>OA-05</t>
  </si>
  <si>
    <t>GI &amp; CV Risk Assessment (if on NSAIDs)</t>
  </si>
  <si>
    <t>For patients on oral NSAIDs: assess GI bleeding risk (H. pylori, PPI co-therapy) and cardiovascular risk</t>
  </si>
  <si>
    <t>ACR / AGA Guideline</t>
  </si>
  <si>
    <t>OA-06</t>
  </si>
  <si>
    <t>Radiographic Staging (if Progression)</t>
  </si>
  <si>
    <t>Document KL grade or joint space assessment when symptoms change or surgical evaluation is considered</t>
  </si>
  <si>
    <t>As clinically indicated</t>
  </si>
  <si>
    <t>AAOS / ACR</t>
  </si>
  <si>
    <t>OA-07</t>
  </si>
  <si>
    <t>Surgical Referral Assessment</t>
  </si>
  <si>
    <t>For refractory symptoms with structural damage: document discussion of TKA/THA referral; use appropriateness criteria</t>
  </si>
  <si>
    <t>As indicated</t>
  </si>
  <si>
    <t>AAOS Appropriateness Criteria</t>
  </si>
  <si>
    <t>Gastroesophageal Reflux Disease (GERD)  (K21.x)</t>
  </si>
  <si>
    <t>GERD-01</t>
  </si>
  <si>
    <t>Gastroesophageal Reflux Disease (GERD)</t>
  </si>
  <si>
    <t>Symptom Severity Assessment (GerdQ)</t>
  </si>
  <si>
    <t>Administer GerdQ or equivalent; document frequency and severity of heartburn, regurgitation, and alarm symptoms</t>
  </si>
  <si>
    <t>ACG Guideline</t>
  </si>
  <si>
    <t>GERD-02</t>
  </si>
  <si>
    <t>PPI Step-Down / Deprescribing Review</t>
  </si>
  <si>
    <t>For patients on chronic PPI &gt;8 weeks: attempt step-down to lowest effective dose or H2RA; document rationale if continuing</t>
  </si>
  <si>
    <t>Every 6–12 months</t>
  </si>
  <si>
    <t>ACG / AGA Guideline</t>
  </si>
  <si>
    <t>GERD-03</t>
  </si>
  <si>
    <t>Alarm Symptom Screening</t>
  </si>
  <si>
    <t>Screen for dysphagia, odynophagia, unintentional weight loss, GI bleeding, and anemia; refer for EGD if present</t>
  </si>
  <si>
    <t>GERD-04</t>
  </si>
  <si>
    <t>H. pylori Testing (if Indicated)</t>
  </si>
  <si>
    <t>Test for H. pylori in patients with uninvestigated dyspepsia or before long-term PPI use; treat if positive</t>
  </si>
  <si>
    <t>Once (or per indication)</t>
  </si>
  <si>
    <t>GERD-05</t>
  </si>
  <si>
    <t>Lifestyle Modification Counseling</t>
  </si>
  <si>
    <t>Document counseling on weight loss, head-of-bed elevation, meal timing (no eating 3h before bed), trigger food avoidance</t>
  </si>
  <si>
    <t>GERD-06</t>
  </si>
  <si>
    <t>Long-Term PPI Adverse Effect Monitoring</t>
  </si>
  <si>
    <t>For chronic PPI users: monitor magnesium (annually), bone density (per risk), vitamin B12, and C. difficile awareness</t>
  </si>
  <si>
    <t>AGA / FDA Safety Communication</t>
  </si>
  <si>
    <t>GERD-07</t>
  </si>
  <si>
    <t>Barrett’s Esophagus Surveillance (if Applicable)</t>
  </si>
  <si>
    <t>For confirmed Barrett’s: follow ACG surveillance intervals based on dysplasia status; document last EGD date</t>
  </si>
  <si>
    <t>Per ACG protocol (1–3 years)</t>
  </si>
  <si>
    <t>ACG Barrett’s Guideline</t>
  </si>
  <si>
    <t>Benign Prostatic Hyperplasia (BPH)  (N40.x)</t>
  </si>
  <si>
    <t>BPH-01</t>
  </si>
  <si>
    <t>Benign Prostatic Hyperplasia (BPH)</t>
  </si>
  <si>
    <t>IPSS / AUA Symptom Score</t>
  </si>
  <si>
    <t>Administer International Prostate Symptom Score; classify mild (0–7), moderate (8–19), severe (20–35)</t>
  </si>
  <si>
    <t>AUA Guideline</t>
  </si>
  <si>
    <t>BPH-02</t>
  </si>
  <si>
    <t>PSA &amp; Digital Rectal Exam</t>
  </si>
  <si>
    <t>Document PSA level and DRE findings; use for prostate cancer risk stratification (not BPH diagnosis alone)</t>
  </si>
  <si>
    <t>Annually (shared decision)</t>
  </si>
  <si>
    <t>AUA / USPSTF</t>
  </si>
  <si>
    <t>BPH-03</t>
  </si>
  <si>
    <t>Medication Review (Alpha-Blocker / 5-ARI)</t>
  </si>
  <si>
    <t>Review BPH pharmacotherapy: alpha-blocker efficacy, 5-ARI for prostate &gt;30g, combination therapy assessment</t>
  </si>
  <si>
    <t>BPH-04</t>
  </si>
  <si>
    <t>Post-Void Residual Assessment</t>
  </si>
  <si>
    <t>Measure PVR by bladder scan or catheterization; PVR &gt;200 mL suggests significant obstruction</t>
  </si>
  <si>
    <t>Annually (or if worsening)</t>
  </si>
  <si>
    <t>BPH-05</t>
  </si>
  <si>
    <t>Renal Function Monitoring</t>
  </si>
  <si>
    <t>Order BMP/creatinine to screen for obstructive nephropathy, especially with high PVR or hydronephrosis history</t>
  </si>
  <si>
    <t>BPH-06</t>
  </si>
  <si>
    <t>For refractory LUTS, recurrent UTI, retention, or renal insufficiency: document urology referral for TURP/laser evaluation</t>
  </si>
  <si>
    <t>Chronic Migraine  (G43.7x)</t>
  </si>
  <si>
    <t>MIG-01</t>
  </si>
  <si>
    <t>Chronic Migraine</t>
  </si>
  <si>
    <t>Headache Frequency &amp; Disability Assessment</t>
  </si>
  <si>
    <t>Document monthly headache days and administer MIDAS or HIT-6 disability scale; track longitudinally</t>
  </si>
  <si>
    <t>Every visit (minimum quarterly)</t>
  </si>
  <si>
    <t>AHS / AAN Guideline</t>
  </si>
  <si>
    <t>MIG-02</t>
  </si>
  <si>
    <t>Acute Medication Use Tracking</t>
  </si>
  <si>
    <t>Document monthly acute medication days; screen for medication overuse headache (≥10 triptan or ≥15 simple analgesic days/month)</t>
  </si>
  <si>
    <t>MIG-03</t>
  </si>
  <si>
    <t>Preventive Therapy Review</t>
  </si>
  <si>
    <t>Review preventive medication (topiramate, amitriptyline, propranolol, valproate) or CGRP mAb; assess efficacy and tolerability</t>
  </si>
  <si>
    <t>Every 3 months</t>
  </si>
  <si>
    <t>MIG-04</t>
  </si>
  <si>
    <t>CGRP Therapy Assessment</t>
  </si>
  <si>
    <t>For ≥4 monthly headache days with failed ≥2 traditional preventives: document CGRP inhibitor trial or rationale for/against</t>
  </si>
  <si>
    <t>AHS Consensus / Payer Criteria</t>
  </si>
  <si>
    <t>MIG-05</t>
  </si>
  <si>
    <t>Comorbid Depression/Anxiety Screening</t>
  </si>
  <si>
    <t>Screen for comorbid mood disorders (PHQ-9, GAD-7); migraine and depression have bidirectional relationship</t>
  </si>
  <si>
    <t>AAN Guideline / CMS159v12</t>
  </si>
  <si>
    <t>MIG-06</t>
  </si>
  <si>
    <t>Lifestyle &amp; Trigger Management</t>
  </si>
  <si>
    <t>Document counseling on sleep hygiene, hydration, regular meals, exercise, stress management, and identified triggers</t>
  </si>
  <si>
    <t>AHS Guideline</t>
  </si>
  <si>
    <t>MIG-07</t>
  </si>
  <si>
    <t>Neuroimaging Review (if Red Flags)</t>
  </si>
  <si>
    <t>Document that neuroimaging is not routinely needed; order MRI brain if atypical features, new neurological signs, or thunderclap onset</t>
  </si>
  <si>
    <t>AAN Choosing Wisely</t>
  </si>
  <si>
    <t>Epilepsy / Seizure Disorder  (G40.x)</t>
  </si>
  <si>
    <t>EPI-01</t>
  </si>
  <si>
    <t>Epilepsy / Seizure Disorder</t>
  </si>
  <si>
    <t>Seizure Frequency Documentation</t>
  </si>
  <si>
    <t>Document seizure type(s), frequency, and date of last seizure; classify per ILAE 2017 criteria</t>
  </si>
  <si>
    <t>AAN / ILAE Guideline</t>
  </si>
  <si>
    <t>EPI-02</t>
  </si>
  <si>
    <t>Antiseizure Medication (ASM) Review</t>
  </si>
  <si>
    <t>Review ASM regimen: efficacy, adherence, serum drug levels (if applicable), and drug interactions</t>
  </si>
  <si>
    <t>AAN Guideline</t>
  </si>
  <si>
    <t>EPI-03</t>
  </si>
  <si>
    <t>ASM Drug Level Monitoring</t>
  </si>
  <si>
    <t>For narrow therapeutic index ASMs (phenytoin, carbamazepine, valproate, phenobarbital): order serum trough levels</t>
  </si>
  <si>
    <t>Every 6–12 months (or per dose change)</t>
  </si>
  <si>
    <t>EPI-04</t>
  </si>
  <si>
    <t>Hepatic &amp; Hematologic Safety Labs</t>
  </si>
  <si>
    <t>Order CBC and hepatic panel for ASMs with hematologic or hepatotoxic risk (valproate, carbamazepine, felbamate)</t>
  </si>
  <si>
    <t>AAN / FDA Label</t>
  </si>
  <si>
    <t>EPI-05</t>
  </si>
  <si>
    <t>Women of Childbearing Age: Contraception &amp; Folate</t>
  </si>
  <si>
    <t>Document contraceptive counseling (enzyme-inducing ASMs reduce OC efficacy); prescribe high-dose folic acid (1–4 mg/day)</t>
  </si>
  <si>
    <t>AAN / ACOG Guideline</t>
  </si>
  <si>
    <t>EPI-06</t>
  </si>
  <si>
    <t>Bone Health Assessment</t>
  </si>
  <si>
    <t>For chronic enzyme-inducing ASMs: assess vitamin D (25-OH-D), calcium, and DXA if risk factors present</t>
  </si>
  <si>
    <t>Every 1–2 years</t>
  </si>
  <si>
    <t>AAN Guideline / Endocrine</t>
  </si>
  <si>
    <t>EPI-07</t>
  </si>
  <si>
    <t>Driving &amp; Safety Counseling</t>
  </si>
  <si>
    <t>Document state-specific driving restriction counseling; review seizure-free interval requirements; assess workplace and water safety</t>
  </si>
  <si>
    <t>AAN / State Law</t>
  </si>
  <si>
    <t>EPI-08</t>
  </si>
  <si>
    <t>SUDEP Risk Counseling</t>
  </si>
  <si>
    <t>For patients with uncontrolled seizures: document Sudden Unexpected Death in Epilepsy (SUDEP) risk discussion</t>
  </si>
  <si>
    <t>AAN Practice Guideline</t>
  </si>
  <si>
    <t>HIV / AIDS (Chronic Management)  (B20 / Z21)</t>
  </si>
  <si>
    <t>HIV-01</t>
  </si>
  <si>
    <t>HIV / AIDS (Chronic Management)</t>
  </si>
  <si>
    <t>Viral Load Monitoring</t>
  </si>
  <si>
    <t>Order HIV-1 RNA viral load; confirm sustained virologic suppression (&lt;200 copies/mL = undetectable)</t>
  </si>
  <si>
    <t>Every 3–6 months (every 6 months if stable)</t>
  </si>
  <si>
    <t>DHHS / IAS-USA Guideline</t>
  </si>
  <si>
    <t>HIV-02</t>
  </si>
  <si>
    <t>CD4 Count Monitoring</t>
  </si>
  <si>
    <t>Order CD4 cell count and percentage; can extend to annually if VL suppressed and CD4 &gt;500 for &gt;2 years</t>
  </si>
  <si>
    <t>DHHS Guideline</t>
  </si>
  <si>
    <t>HIV-03</t>
  </si>
  <si>
    <t>ART Adherence Assessment</t>
  </si>
  <si>
    <t>Assess antiretroviral therapy adherence using validated tool; address barriers (cost, side effects, pill burden)</t>
  </si>
  <si>
    <t>HIV-04</t>
  </si>
  <si>
    <t>ART Resistance &amp; Regimen Review</t>
  </si>
  <si>
    <t>Review current ART regimen for drug interactions, tolerability, and resistance history; consider simplification if suppressed</t>
  </si>
  <si>
    <t>HIV-05</t>
  </si>
  <si>
    <t>STI Screening Panel</t>
  </si>
  <si>
    <t>Screen for syphilis (RPR), gonorrhea/chlamydia (NAAT), and HCV (anti-HCV) per risk behavior</t>
  </si>
  <si>
    <t>Annually (more if high-risk)</t>
  </si>
  <si>
    <t>CDC STI Guidelines / DHHS</t>
  </si>
  <si>
    <t>HIV-06</t>
  </si>
  <si>
    <t>Cervical/Anal Cancer Screening</t>
  </si>
  <si>
    <t>Women: cervical cytology per ASCCP guidelines. MSM/high-risk: consider anal cytology/HRA for HSIL</t>
  </si>
  <si>
    <t>Per ASCCP / annually (anal)</t>
  </si>
  <si>
    <t>DHHS / ASCCP Guideline</t>
  </si>
  <si>
    <t>HIV-07</t>
  </si>
  <si>
    <t>Metabolic Comorbidity Panel</t>
  </si>
  <si>
    <t>Order fasting lipid panel, glucose/HbA1c, and assess ASCVD risk; ART-associated metabolic effects common</t>
  </si>
  <si>
    <t>DHHS / ACC/AHA</t>
  </si>
  <si>
    <t>HIV-08</t>
  </si>
  <si>
    <t>Renal &amp; Hepatic Function Monitoring</t>
  </si>
  <si>
    <t>Order BMP (eGFR) and hepatic panel; especially important for tenofovir (renal) and PI-based regimens (hepatic)</t>
  </si>
  <si>
    <t>HIV-09</t>
  </si>
  <si>
    <t>Bone Density Assessment</t>
  </si>
  <si>
    <t>For patients &gt;50 or with fracture risk factors: order DXA; tenofovir disoproxil associated with BMD loss</t>
  </si>
  <si>
    <t>Per risk factors (age 50+)</t>
  </si>
  <si>
    <t>DHHS / Endocrine Society</t>
  </si>
  <si>
    <t>HIV-10</t>
  </si>
  <si>
    <t>Immunization Status Review</t>
  </si>
  <si>
    <t>Confirm age-appropriate vaccines: influenza, pneumococcal (PCV20), hepatitis A/B, HPV, COVID-19, Td/Tdap; live vaccines per CD4</t>
  </si>
  <si>
    <t>CDC / ACIP / DHHS</t>
  </si>
  <si>
    <t>Hepatitis C (Chronic)  (B18.2)</t>
  </si>
  <si>
    <t>HCV-01</t>
  </si>
  <si>
    <t>Hepatitis C (Chronic)</t>
  </si>
  <si>
    <t>HCV RNA Viral Load (Quantitative)</t>
  </si>
  <si>
    <t>Order quantitative HCV RNA to confirm active viremia after positive anti-HCV antibody</t>
  </si>
  <si>
    <t>At diagnosis + SVR12 + SVR24</t>
  </si>
  <si>
    <t>AASLD/IDSA HCV Guideline</t>
  </si>
  <si>
    <t>HCV-02</t>
  </si>
  <si>
    <t>HCV Genotype / NS5A Resistance Testing</t>
  </si>
  <si>
    <t>Order HCV genotype (and NS5A RAS testing if indicated) to guide DAA regimen selection</t>
  </si>
  <si>
    <t>At diagnosis (before treatment)</t>
  </si>
  <si>
    <t>AASLD/IDSA Guideline</t>
  </si>
  <si>
    <t>HCV-03</t>
  </si>
  <si>
    <t>Liver Fibrosis Staging</t>
  </si>
  <si>
    <t>Assess fibrosis using FIB-4, APRI, or elastography (FibroScan); determines urgency and post-SVR surveillance needs</t>
  </si>
  <si>
    <t>At diagnosis + post-SVR if cirrhotic</t>
  </si>
  <si>
    <t>HCV-04</t>
  </si>
  <si>
    <t>DAA Treatment Initiation / Completion</t>
  </si>
  <si>
    <t>Prescribe pan-genotypic DAA regimen (sofosbuvir/velpatasvir or glecaprevir/pibrentasvir); document treatment start/end dates</t>
  </si>
  <si>
    <t>Once (8–12 weeks)</t>
  </si>
  <si>
    <t>HCV-05</t>
  </si>
  <si>
    <t>SVR12 Confirmation (Cure)</t>
  </si>
  <si>
    <t>Order HCV RNA at 12 weeks post-treatment completion; undetectable = sustained virologic response (cure)</t>
  </si>
  <si>
    <t>12 weeks post-treatment</t>
  </si>
  <si>
    <t>HCV-06</t>
  </si>
  <si>
    <t>HCC Surveillance (if Cirrhotic)</t>
  </si>
  <si>
    <t>For patients with cirrhosis (even after SVR): continue abdominal ultrasound ± AFP every 6 months indefinitely</t>
  </si>
  <si>
    <t>AASLD HCC Guideline</t>
  </si>
  <si>
    <t>HCV-07</t>
  </si>
  <si>
    <t>Hepatitis A &amp; B Vaccination</t>
  </si>
  <si>
    <t>Confirm HAV and HBV immunity; vaccinate if non-immune to prevent superinfection and accelerated liver damage</t>
  </si>
  <si>
    <t>At diagnosis</t>
  </si>
  <si>
    <t>AASLD / ACIP</t>
  </si>
  <si>
    <t>HCV-08</t>
  </si>
  <si>
    <t>Substance Use &amp; Reinfection Counseling</t>
  </si>
  <si>
    <t>Screen for ongoing injection drug use; provide harm reduction education and reinfection prevention counseling</t>
  </si>
  <si>
    <t>Every visit (pre and post-treatment)</t>
  </si>
  <si>
    <t>AASLD/IDSA / SAMHSA</t>
  </si>
  <si>
    <t>Sickle Cell Disease (SCD)  (D57.x)</t>
  </si>
  <si>
    <t>SCD-01</t>
  </si>
  <si>
    <t>Sickle Cell Disease (SCD)</t>
  </si>
  <si>
    <t>Hydroxyurea Eligibility &amp; Monitoring</t>
  </si>
  <si>
    <t>For HbSS/Sβ0: assess hydroxyurea candidacy (≥9 months of age); monitor CBC every 4–8 weeks during titration, then every 2–3 months</t>
  </si>
  <si>
    <t>Every 2–3 months</t>
  </si>
  <si>
    <t>ASH / NHLBI Guideline</t>
  </si>
  <si>
    <t>SCD-02</t>
  </si>
  <si>
    <t>Transcranial Doppler (TCD) Screening</t>
  </si>
  <si>
    <t>For children ages 2–16 with HbSS/Sβ0: annual TCD to screen for stroke risk; conditional/abnormal → chronic transfusion</t>
  </si>
  <si>
    <t>Annually (ages 2–16)</t>
  </si>
  <si>
    <t>NHLBI / ASH Guideline</t>
  </si>
  <si>
    <t>SCD-03</t>
  </si>
  <si>
    <t>Pain Crisis Assessment &amp; Management Plan</t>
  </si>
  <si>
    <t>Document acute pain crisis frequency, ED/hospital utilization, and individualized pain management plan</t>
  </si>
  <si>
    <t>ASH Guideline</t>
  </si>
  <si>
    <t>SCD-04</t>
  </si>
  <si>
    <t>Order BMP (creatinine/eGFR) and urinalysis with uACR; sickle nephropathy screening</t>
  </si>
  <si>
    <t>ASH / KDIGO</t>
  </si>
  <si>
    <t>SCD-05</t>
  </si>
  <si>
    <t>Pulmonary Hypertension Screening</t>
  </si>
  <si>
    <t>Screen with NT-proBNP and/or echocardiogram for TRV; refer for RHC if TRV ≥2.5 m/s or elevated NT-proBNP</t>
  </si>
  <si>
    <t>Annually (adults)</t>
  </si>
  <si>
    <t>ASH / ATS Guideline</t>
  </si>
  <si>
    <t>SCD-06</t>
  </si>
  <si>
    <t>Retinopathy Screening</t>
  </si>
  <si>
    <t>Refer for dilated retinal exam to screen for proliferative sickle retinopathy</t>
  </si>
  <si>
    <t>Annually (beginning age 10)</t>
  </si>
  <si>
    <t>SCD-07</t>
  </si>
  <si>
    <t>Iron Overload Assessment (if Transfused)</t>
  </si>
  <si>
    <t>For patients on chronic transfusion: monitor serum ferritin every 3 months and liver iron by MRI annually; chelation if ferritin &gt;1000</t>
  </si>
  <si>
    <t>Every 3 months (ferritin) / annually (MRI)</t>
  </si>
  <si>
    <t>SCD-08</t>
  </si>
  <si>
    <t>Immunization &amp; Penicillin Prophylaxis</t>
  </si>
  <si>
    <t>Confirm pneumococcal, meningococcal, influenza, and COVID vaccines; penicillin prophylaxis through age 5 (at minimum)</t>
  </si>
  <si>
    <t>ACIP / NHLBI Guideline</t>
  </si>
  <si>
    <t>Systemic Lupus Erythematosus (SLE)  (M32.x)</t>
  </si>
  <si>
    <t>SLE-01</t>
  </si>
  <si>
    <t>Systemic Lupus Erythematosus (SLE)</t>
  </si>
  <si>
    <t>Disease Activity Assessment (SLEDAI/BILAG)</t>
  </si>
  <si>
    <t>Calculate and document composite disease activity score (SLEDAI-2K or BILAG); classify remission/low/moderate/high activity</t>
  </si>
  <si>
    <t>Every visit (every 3–6 months)</t>
  </si>
  <si>
    <t>ACR / EULAR Guideline</t>
  </si>
  <si>
    <t>SLE-02</t>
  </si>
  <si>
    <t>Hydroxychloroquine Adherence &amp; Monitoring</t>
  </si>
  <si>
    <t>Confirm HCQ prescribed (unless contraindicated); foundation of all SLE treatment regimens</t>
  </si>
  <si>
    <t>SLE-03</t>
  </si>
  <si>
    <t>Ophthalmologic Screening (HCQ Toxicity)</t>
  </si>
  <si>
    <t>Refer for annual retinal screening (OCT + visual fields) for hydroxychloroquine retinal toxicity; baseline within first year</t>
  </si>
  <si>
    <t>Annually (after 5 years, or annually if risk factors)</t>
  </si>
  <si>
    <t>AAO / ACR Guideline</t>
  </si>
  <si>
    <t>SLE-04</t>
  </si>
  <si>
    <t>Renal Monitoring (Lupus Nephritis)</t>
  </si>
  <si>
    <t>Order urinalysis with microscopy, uACR or uPCR, and serum creatinine/eGFR to screen for lupus nephritis</t>
  </si>
  <si>
    <t>Every 3–6 months</t>
  </si>
  <si>
    <t>ACR / KDIGO / EULAR</t>
  </si>
  <si>
    <t>SLE-05</t>
  </si>
  <si>
    <t>Serologic Activity Markers</t>
  </si>
  <si>
    <t>Order complement levels (C3, C4), anti-dsDNA antibody titers, and CBC to monitor immunologic activity and cytopenias</t>
  </si>
  <si>
    <t>SLE-06</t>
  </si>
  <si>
    <t>Cardiovascular Risk Assessment</t>
  </si>
  <si>
    <t>Assess ASCVD risk (SLE confers 2–10x CV risk); manage hypertension, dyslipidemia, and diabetes aggressively</t>
  </si>
  <si>
    <t>ACC/AHA / EULAR</t>
  </si>
  <si>
    <t>SLE-07</t>
  </si>
  <si>
    <t>Bone Health &amp; Glucocorticoid Monitoring</t>
  </si>
  <si>
    <t>For chronic prednisone use: order DXA, vitamin D, calcium; initiate osteoporosis prevention per ACR glucocorticoid guideline</t>
  </si>
  <si>
    <t>Annually (if on steroids)</t>
  </si>
  <si>
    <t>ACR Osteoporosis Guideline</t>
  </si>
  <si>
    <t>SLE-08</t>
  </si>
  <si>
    <t>Immunization Review</t>
  </si>
  <si>
    <t>Confirm influenza, pneumococcal, COVID-19 vaccines; avoid live vaccines on immunosuppression; HPV vaccine if age-appropriate</t>
  </si>
  <si>
    <t>ACR / ACIP / EULAR</t>
  </si>
  <si>
    <t>SLE-09</t>
  </si>
  <si>
    <t>Pregnancy Planning Counseling</t>
  </si>
  <si>
    <t>For women of childbearing age: assess anti-Ro/La, antiphospholipid antibodies; counsel on disease quiescence before conception; review teratogenic meds</t>
  </si>
  <si>
    <t>Annually (reproductive-age women)</t>
  </si>
  <si>
    <t>Gout  (M10.x)</t>
  </si>
  <si>
    <t>GOUT-01</t>
  </si>
  <si>
    <t>Gout</t>
  </si>
  <si>
    <t>Serum Uric Acid Monitoring</t>
  </si>
  <si>
    <t>Order serum urate level; target &lt; 6.0 mg/dL (&lt; 5.0 if tophaceous gout) on urate-lowering therapy (ULT)</t>
  </si>
  <si>
    <t>Every 6 months (until target, then annually)</t>
  </si>
  <si>
    <t>ACR 2020 Guideline</t>
  </si>
  <si>
    <t>GOUT-02</t>
  </si>
  <si>
    <t>Urate-Lowering Therapy Initiation</t>
  </si>
  <si>
    <t>For patients with ≥2 flares/year, tophi, or urate nephrolithiasis: initiate allopurinol (start low, titrate) or febuxostat</t>
  </si>
  <si>
    <t>At indication + ongoing</t>
  </si>
  <si>
    <t>GOUT-03</t>
  </si>
  <si>
    <t>Flare Prophylaxis During ULT Initiation</t>
  </si>
  <si>
    <t>Prescribe colchicine 0.6 mg daily (or low-dose NSAID) for ≥3–6 months when starting/titrating ULT to prevent mobilization flares</t>
  </si>
  <si>
    <t>First 3–6 months of ULT</t>
  </si>
  <si>
    <t>GOUT-04</t>
  </si>
  <si>
    <t>Renal Function Assessment</t>
  </si>
  <si>
    <t>Order BMP (creatinine/eGFR); adjust ULT dosing per renal function; allopurinol can be titrated above 300 mg even with CKD</t>
  </si>
  <si>
    <t>ACR 2020 / KDIGO</t>
  </si>
  <si>
    <t>GOUT-05</t>
  </si>
  <si>
    <t>Cardiovascular Risk Screening</t>
  </si>
  <si>
    <t>Assess ASCVD risk; gout independently associated with increased CV events; screen for HTN, dyslipidemia, metabolic syndrome</t>
  </si>
  <si>
    <t>ACC/AHA / ACR</t>
  </si>
  <si>
    <t>GOUT-06</t>
  </si>
  <si>
    <t>Dietary &amp; Lifestyle Counseling</t>
  </si>
  <si>
    <t>Document counseling on purine-rich food moderation, alcohol reduction (especially beer), sugar-sweetened beverage avoidance, and weight management</t>
  </si>
  <si>
    <t>GOUT-07</t>
  </si>
  <si>
    <t>Medication Interaction Review</t>
  </si>
  <si>
    <t>Review medications that affect urate: thiazides (increase), losartan (decrease); discontinue unnecessary urate-elevating drugs</t>
  </si>
  <si>
    <t>Obstructive Sleep Apnea (OSA)  (G47.33)</t>
  </si>
  <si>
    <t>OSA-01</t>
  </si>
  <si>
    <t>Obstructive Sleep Apnea (OSA)</t>
  </si>
  <si>
    <t>AHI / Severity Documentation</t>
  </si>
  <si>
    <t>Document most recent AHI from polysomnography or home sleep test; classify mild (5–14), moderate (15–29), severe (≥30)</t>
  </si>
  <si>
    <t>At diagnosis + if clinical change</t>
  </si>
  <si>
    <t>AASM Guideline</t>
  </si>
  <si>
    <t>OSA-02</t>
  </si>
  <si>
    <t>PAP Therapy Adherence Monitoring</t>
  </si>
  <si>
    <t>Download and review CPAP/BiPAP usage data; target ≥4 hours/night on ≥70% of nights (CMS adherence threshold)</t>
  </si>
  <si>
    <t>Every 3 months (first year), then annually</t>
  </si>
  <si>
    <t>AASM / CMS Coverage</t>
  </si>
  <si>
    <t>OSA-03</t>
  </si>
  <si>
    <t>Residual AHI Assessment</t>
  </si>
  <si>
    <t>Review PAP device-reported residual AHI; target &lt; 5 events/hour; adjust pressure settings or mask if elevated</t>
  </si>
  <si>
    <t>OSA-04</t>
  </si>
  <si>
    <t>Daytime Sleepiness Assessment (ESS)</t>
  </si>
  <si>
    <t>Administer Epworth Sleepiness Scale; document score (&gt;10 = excessive); assess driving and occupational risk</t>
  </si>
  <si>
    <t>OSA-05</t>
  </si>
  <si>
    <t>Weight Management Assessment</t>
  </si>
  <si>
    <t>Document BMI and weight trend; for BMI ≥30: counsel on weight loss as adjunctive OSA therapy; 10% weight loss can reduce AHI by 26%</t>
  </si>
  <si>
    <t>AASM / CMS69v12</t>
  </si>
  <si>
    <t>OSA-06</t>
  </si>
  <si>
    <t>Cardiovascular Risk Optimization</t>
  </si>
  <si>
    <t>Screen and manage associated CV risks: hypertension, atrial fibrillation, heart failure, and stroke; OSA independently increases CV risk</t>
  </si>
  <si>
    <t>AASM / ACC/AHA</t>
  </si>
  <si>
    <t>OSA-07</t>
  </si>
  <si>
    <t>Comorbid Insomnia / Mood Screening</t>
  </si>
  <si>
    <t>Screen for comorbid insomnia (COMISA), depression (PHQ-9), and anxiety (GAD-7); high overlap with OSA</t>
  </si>
  <si>
    <t>AASM / APA</t>
  </si>
  <si>
    <t>Generalized Anxiety Disorder (GAD)  (F41.1)</t>
  </si>
  <si>
    <t>GAD-01</t>
  </si>
  <si>
    <t>Generalized Anxiety Disorder (GAD)</t>
  </si>
  <si>
    <t>GAD-7 Anxiety Assessment</t>
  </si>
  <si>
    <t>Administer GAD-7; document score and severity (mild 5–9, moderate 10–14, severe 15–21); track longitudinally</t>
  </si>
  <si>
    <t>CMS Quality / APA</t>
  </si>
  <si>
    <t>GAD-02</t>
  </si>
  <si>
    <t>Treatment Response Monitoring</t>
  </si>
  <si>
    <t>For patients on pharmacotherapy or psychotherapy: document ≥50% GAD-7 reduction as response; &lt;5 as remission target</t>
  </si>
  <si>
    <t>APA Guideline</t>
  </si>
  <si>
    <t>GAD-03</t>
  </si>
  <si>
    <t>SSRI/SNRI Medication Management</t>
  </si>
  <si>
    <t>Review anxiolytic medication: first-line SSRI/SNRI efficacy, dose optimization, and side effect assessment</t>
  </si>
  <si>
    <t>Every visit (monthly during titration)</t>
  </si>
  <si>
    <t>GAD-04</t>
  </si>
  <si>
    <t>Benzodiazepine Use Assessment</t>
  </si>
  <si>
    <t>If benzodiazepine prescribed: document indication, duration, dose, and tapering plan; avoid chronic use; monitor for dependence</t>
  </si>
  <si>
    <t>APA / VA/DoD Guideline</t>
  </si>
  <si>
    <t>GAD-05</t>
  </si>
  <si>
    <t>Psychotherapy Referral &amp; Engagement</t>
  </si>
  <si>
    <t>Document referral to or engagement in evidence-based psychotherapy (CBT preferred); assess treatment adherence</t>
  </si>
  <si>
    <t>At diagnosis + ongoing</t>
  </si>
  <si>
    <t>APA Guideline / NICE</t>
  </si>
  <si>
    <t>GAD-06</t>
  </si>
  <si>
    <t>Comorbid Depression Screening (PHQ-9)</t>
  </si>
  <si>
    <t>Screen for comorbid MDD; GAD and MDD co-occur in ≥60% of cases; integrated treatment approach needed</t>
  </si>
  <si>
    <t>GAD-07</t>
  </si>
  <si>
    <t>Substance Use Screening (AUDIT-C / DAST)</t>
  </si>
  <si>
    <t>Screen for self-medication with alcohol or substances; anxiety disorders increase substance use risk</t>
  </si>
  <si>
    <t>USPSTF / SAMHSA</t>
  </si>
  <si>
    <t>GAD-08</t>
  </si>
  <si>
    <t>Functional Impairment Assessment</t>
  </si>
  <si>
    <t>Document impact on work productivity, social functioning, relationships, and sleep quality</t>
  </si>
  <si>
    <t>#</t>
  </si>
  <si>
    <t>Chronic Condition</t>
  </si>
  <si>
    <t>ICD-10 Range</t>
  </si>
  <si>
    <t>Key eCQM / Guideline References</t>
  </si>
  <si>
    <t>Cross-Condition Overlaps</t>
  </si>
  <si>
    <t>G30.x / F02.x</t>
  </si>
  <si>
    <t>CMS149v12, APA, AGS Beers Criteria, CMS Quality...</t>
  </si>
  <si>
    <t>MDD (PHQ-9), Osteo (fall risk), HTN (polypharmacy), Stroke (depression)</t>
  </si>
  <si>
    <t>I63.x / I67.x</t>
  </si>
  <si>
    <t>CMS164v12, CMS347v7, CMS165v12, CMS122v12...</t>
  </si>
  <si>
    <t>CAD (statin/antiplatelet), HTN (BP), DM (HbA1c), AFib (anticoag), MDD (depression)</t>
  </si>
  <si>
    <t>G89.x / F11.x</t>
  </si>
  <si>
    <t>CDC Opioid Guideline 2022, CDC Opioid Guideline, CDC Guideline</t>
  </si>
  <si>
    <t>MDD (PHQ-9), GAD (anxiety), Obesity (BMI), OA (pain), SUD overlap</t>
  </si>
  <si>
    <t>M15–M19</t>
  </si>
  <si>
    <t>ACR, ACR Guideline, AAOS, AAOS Appropriateness Criteria</t>
  </si>
  <si>
    <t>Obesity (weight), Pain (pharmacotherapy), HTN (NSAIDs/CV risk), Osteo (fall risk)</t>
  </si>
  <si>
    <t>K21.x</t>
  </si>
  <si>
    <t>ACG Guideline, ACG, AGA, ACG Barrett’s Guideline</t>
  </si>
  <si>
    <t>Obesity (lifestyle), CLD (hepatitis screen), Pain (NSAID risk), PPI/CKD interaction</t>
  </si>
  <si>
    <t>N40.x</t>
  </si>
  <si>
    <t>AUA Guideline, AUA</t>
  </si>
  <si>
    <t>CKD (renal function), Hypothyroid (medication review), PSA shared w/oncology screening</t>
  </si>
  <si>
    <t>G43.7x</t>
  </si>
  <si>
    <t>AHS, AHS Consensus, AAN Guideline, AHS Guideline...</t>
  </si>
  <si>
    <t>MDD (PHQ-9), GAD (anxiety), Pain (comorbid), Stroke (headache diff dx)</t>
  </si>
  <si>
    <t>G40.x</t>
  </si>
  <si>
    <t>AAN, AAN Guideline, AAN Practice Guideline</t>
  </si>
  <si>
    <t>Osteo (bone health), MDD (depression), Women’s health (folate), CKD (drug levels)</t>
  </si>
  <si>
    <t>B20 / Z21</t>
  </si>
  <si>
    <t>DHHS, DHHS Guideline, CDC STI Guidelines, CDC</t>
  </si>
  <si>
    <t>STI screening overlaps Hep C, DM/HTN (metabolic), Osteo (bone density), CKD (renal)</t>
  </si>
  <si>
    <t>B18.2</t>
  </si>
  <si>
    <t>AASLD/IDSA HCV Guideline, AASLD/IDSA Guideline, AASLD HCC Guideline, AASLD...</t>
  </si>
  <si>
    <t>CLD (HCC surveillance), HIV (co-infection), SCD/CKD (renal), Substance use</t>
  </si>
  <si>
    <t>D57.x</t>
  </si>
  <si>
    <t>ASH, NHLBI, ASH Guideline, ACIP</t>
  </si>
  <si>
    <t>CKD (renal), Osteo (bone), RA (autoimmune overlap), Pain (crisis management)</t>
  </si>
  <si>
    <t>M32.x</t>
  </si>
  <si>
    <t>ACR, AAO, ACC/AHA, ACR Osteoporosis Guideline</t>
  </si>
  <si>
    <t>RA (autoimmune), CKD (nephritis), Osteo (steroids), MDD/GAD (comorbidity), HIV (immune)</t>
  </si>
  <si>
    <t>M10.x</t>
  </si>
  <si>
    <t>ACR 2020 Guideline, ACR 2020, ACC/AHA</t>
  </si>
  <si>
    <t>CKD (renal function), HTN (CV risk), OA (joint overlap), Obesity (metabolic syndrome)</t>
  </si>
  <si>
    <t>G47.33</t>
  </si>
  <si>
    <t>AASM Guideline, AASM</t>
  </si>
  <si>
    <t>HTN (CV risk), AFib (comorbid), HF (comorbid), Obesity (weight), MDD (mood), Stroke (risk)</t>
  </si>
  <si>
    <t>F41.1</t>
  </si>
  <si>
    <t>CMS Quality, APA Guideline, APA, CMS159v12...</t>
  </si>
  <si>
    <t>MDD (PHQ-9), Pain (comorbid), Substance use, OSA (sleep), Epilepsy (medication overlap)</t>
  </si>
  <si>
    <t>TOTAL MEASURES (Diseases 16–30)</t>
  </si>
  <si>
    <t>PATIENT EXAMPLE: Mr. Robert Williams (DOB: 11/08/1952)</t>
  </si>
  <si>
    <t>Active Diagnoses: Stroke (I63.5) + Gout (M10.9) + OSA (G47.33) + GAD (F41.1) — Combined Bundle: 30 Care Gap Measures</t>
  </si>
  <si>
    <t>Source Condition</t>
  </si>
  <si>
    <t>Due Date</t>
  </si>
  <si>
    <t>Status</t>
  </si>
  <si>
    <t>Last Completed</t>
  </si>
  <si>
    <t>Action Needed</t>
  </si>
  <si>
    <t>Stroke</t>
  </si>
  <si>
    <t>Antiplatelet Therapy</t>
  </si>
  <si>
    <t>—</t>
  </si>
  <si>
    <t>MET</t>
  </si>
  <si>
    <t>Clopidogrel 75mg active</t>
  </si>
  <si>
    <t>High-Intensity Statin</t>
  </si>
  <si>
    <t>Atorvastatin 80mg active</t>
  </si>
  <si>
    <t>NOT MET</t>
  </si>
  <si>
    <t>02/15/2026</t>
  </si>
  <si>
    <t>Last BP 142/88 — increase amlodipine</t>
  </si>
  <si>
    <t>HbA1c (if Diabetic)</t>
  </si>
  <si>
    <t>N/A</t>
  </si>
  <si>
    <t>No diabetes diagnosis</t>
  </si>
  <si>
    <t>Smoking Cessation</t>
  </si>
  <si>
    <t>Former smoker — quit 2019; documented</t>
  </si>
  <si>
    <t>Carotid Imaging</t>
  </si>
  <si>
    <t>04/20/2024</t>
  </si>
  <si>
    <t>CTA: &lt;50% bilateral stenosis</t>
  </si>
  <si>
    <t>Functional Assessment (mRS)</t>
  </si>
  <si>
    <t>04/01/2026</t>
  </si>
  <si>
    <t>DUE</t>
  </si>
  <si>
    <t>10/01/2025</t>
  </si>
  <si>
    <t>Last mRS = 2; reassess at next visit</t>
  </si>
  <si>
    <t>Post-Stroke Depression Screen</t>
  </si>
  <si>
    <t>Last PHQ-9 = 6 — reassess (shared with GAD)</t>
  </si>
  <si>
    <t>Serum Uric Acid</t>
  </si>
  <si>
    <t>03/15/2026</t>
  </si>
  <si>
    <t>09/10/2025</t>
  </si>
  <si>
    <t>Last SUA 5.2 mg/dL — at target; recheck</t>
  </si>
  <si>
    <t>ULT Therapy (Allopurinol)</t>
  </si>
  <si>
    <t>Allopurinol 300mg active; at target</t>
  </si>
  <si>
    <t>Flare Prophylaxis</t>
  </si>
  <si>
    <t>MET (completed)</t>
  </si>
  <si>
    <t>06/2025</t>
  </si>
  <si>
    <t>Colchicine completed 6-month prophylaxis</t>
  </si>
  <si>
    <t>Order BMP — eGFR monitoring (shared w/ OSA-CV)</t>
  </si>
  <si>
    <t>OVERDUE</t>
  </si>
  <si>
    <t>01/20/2025</t>
  </si>
  <si>
    <t>Lipid panel overdue — order today</t>
  </si>
  <si>
    <t>Dietary Counseling</t>
  </si>
  <si>
    <t>Never</t>
  </si>
  <si>
    <t>Document purine/alcohol counseling</t>
  </si>
  <si>
    <t>HCTZ reviewed — switched to losartan (uricosuric)</t>
  </si>
  <si>
    <t>OSA</t>
  </si>
  <si>
    <t>AHI Documentation</t>
  </si>
  <si>
    <t>06/15/2024</t>
  </si>
  <si>
    <t>AHI 28 (moderate-severe) on PSG</t>
  </si>
  <si>
    <t>PAP Adherence Monitoring</t>
  </si>
  <si>
    <t>AT RISK</t>
  </si>
  <si>
    <t>CPAP usage 3.8 hrs avg — below 4hr CMS threshold</t>
  </si>
  <si>
    <t>Residual AHI Check</t>
  </si>
  <si>
    <t>Download CPAP data — check residual AHI</t>
  </si>
  <si>
    <t>Daytime Sleepiness (ESS)</t>
  </si>
  <si>
    <t>Last ESS = 12 — reassess with better compliance</t>
  </si>
  <si>
    <t>Weight Management</t>
  </si>
  <si>
    <t>BMI 33.4 — counsel on weight loss goal</t>
  </si>
  <si>
    <t>CV Risk Optimization</t>
  </si>
  <si>
    <t>BP uncontrolled (shared with STR-03); AFib screen needed</t>
  </si>
  <si>
    <t>Insomnia/Mood Screening</t>
  </si>
  <si>
    <t>PHQ-9 covers depression (shared); screen insomnia separately</t>
  </si>
  <si>
    <t>GAD</t>
  </si>
  <si>
    <t>GAD-7 Assessment</t>
  </si>
  <si>
    <t>Administer GAD-7 at next visit</t>
  </si>
  <si>
    <t>Last GAD-7 = 11 (moderate) — reassess</t>
  </si>
  <si>
    <t>SSRI/SNRI Review</t>
  </si>
  <si>
    <t>Sertraline 100mg — tolerating well</t>
  </si>
  <si>
    <t>Benzodiazepine Assessment</t>
  </si>
  <si>
    <t>No benzodiazepines prescribed</t>
  </si>
  <si>
    <t>Psychotherapy Engagement</t>
  </si>
  <si>
    <t>Refer to CBT program — patient agreeable</t>
  </si>
  <si>
    <t>Comorbid Depression Screen</t>
  </si>
  <si>
    <t>PHQ-9 shared with STR-08 and OSA-07</t>
  </si>
  <si>
    <t>Substance Use Screening</t>
  </si>
  <si>
    <t>Administer AUDIT-C at next visit</t>
  </si>
  <si>
    <t>Document work/social impact of anxiety</t>
  </si>
  <si>
    <t>BUNDLE COMPLIANCE SUMMARY</t>
  </si>
  <si>
    <t>Total Measures in Combined Bundle:</t>
  </si>
  <si>
    <t>Measures Met:</t>
  </si>
  <si>
    <t>Measures Not Met / Overdue:</t>
  </si>
  <si>
    <t>Measures Due / At Risk:</t>
  </si>
  <si>
    <t>Not Applicable:</t>
  </si>
  <si>
    <t>Compliance Rate (Met / Applicable):</t>
  </si>
  <si>
    <t>CROSS-CONDITION CARE GAP OVERLAPS (Diseases 16–30)</t>
  </si>
  <si>
    <t>Shared Measure Domain</t>
  </si>
  <si>
    <t>Applicable Conditions (1–30)</t>
  </si>
  <si>
    <t>Deduplication Rule</t>
  </si>
  <si>
    <t>PHQ-9 Depression Screening</t>
  </si>
  <si>
    <t>MDD (#9), Alzheimer’s (#16), Stroke (#17), Migraine (#22), OSA (#29), GAD (#30), DM, HF, Pain</t>
  </si>
  <si>
    <t>Single PHQ-9 per visit satisfies all conditions; document in each applicable problem list; score &lt;5 = remission target</t>
  </si>
  <si>
    <t>GAD-7 Anxiety Screening</t>
  </si>
  <si>
    <t>GAD (#30), Migraine (#22), Pain (#18), MDD (#9), Epilepsy (#23)</t>
  </si>
  <si>
    <t>Single GAD-7 per visit covers all conditions; document alongside PHQ-9 for bidirectional mood screening</t>
  </si>
  <si>
    <t>Blood Pressure Control</t>
  </si>
  <si>
    <t>Stroke (#17), Gout (#28), OSA (#29), plus DM, HTN, CAD, HF, CKD, AFib, PAD from Set 1</t>
  </si>
  <si>
    <t>Single BP reading satisfies all; use strictest target: &lt;130/80 for stroke/CKD/CAD secondary prevention</t>
  </si>
  <si>
    <t>Statin Therapy</t>
  </si>
  <si>
    <t>Stroke (#17), plus CAD, DM, PAD, HTN from Set 1</t>
  </si>
  <si>
    <t>One active statin prescription satisfies all; stroke/CAD/PAD require high-intensity statin</t>
  </si>
  <si>
    <t>Antiplatelet / Anticoagulant Therapy</t>
  </si>
  <si>
    <t>Stroke (#17), plus CAD, PAD, AFib from Set 1</t>
  </si>
  <si>
    <t>Single antiplatelet/anticoagulant covers all; if AFib comorbid, anticoagulant replaces antiplatelet</t>
  </si>
  <si>
    <t>Stroke (#17), plus COPD, Asthma, CAD, PAD from Set 1</t>
  </si>
  <si>
    <t>One tobacco screen + intervention per visit covers all conditions</t>
  </si>
  <si>
    <t>Renal Function (eGFR / BMP)</t>
  </si>
  <si>
    <t>Gout (#28), Epilepsy (#23), HIV (#24), SLE (#27), BPH (#21), plus CKD, DM, HTN, AFib from Set 1</t>
  </si>
  <si>
    <t>One BMP satisfies all; use most frequent interval; flag drug dosing adjustments (ULT, ASMs, DOACs, antivirals)</t>
  </si>
  <si>
    <t>Bone Density (DXA) Screening</t>
  </si>
  <si>
    <t>Epilepsy (#23 — ASMs), HIV (#24 — TDF), SLE (#27 — steroids), plus Osteoporosis, RA from Set 1</t>
  </si>
  <si>
    <t>One DXA satisfies all; shortest indicated interval applies; document which medication triggered screening</t>
  </si>
  <si>
    <t>Gout (#28), OSA (#29), SLE (#27), HIV (#24), Stroke (#17), plus DM, HTN, RA from Set 1</t>
  </si>
  <si>
    <t>One ASCVD risk calculation covers all; apply disease-specific multipliers (SLE 2–10x, RA 1.5x)</t>
  </si>
  <si>
    <t>Hepatitis B/C Screening</t>
  </si>
  <si>
    <t>HCV (#25), HIV (#24), RA (pre-biologic), plus CLD from Set 1</t>
  </si>
  <si>
    <t>One-time screening satisfies all; for HIV: annual re-screening if ongoing risk behavior</t>
  </si>
  <si>
    <t>Immunization Review (Influenza, Pneumococcal, COVID)</t>
  </si>
  <si>
    <t>HIV (#24), SCD (#26), SLE (#27), Epilepsy (#23), plus COPD, Asthma, CKD, DM, HF from Set 1</t>
  </si>
  <si>
    <t>One annual vaccination review satisfies all; note: avoid live vaccines in HIV (CD4&lt;200), SLE, RA on biologics</t>
  </si>
  <si>
    <t>GAD (#30), Pain (#18), HCV (#25), Alzheimer’s (#16), plus CLD, MDD from Set 1</t>
  </si>
  <si>
    <t>One AUDIT-C per visit covers all conditions; DAST-10 added if substance use history</t>
  </si>
  <si>
    <t>Fall Risk Assessment</t>
  </si>
  <si>
    <t>Alzheimer’s (#16), Epilepsy (#23), plus Osteoporosis, PAD from Set 1</t>
  </si>
  <si>
    <t>One annual fall risk screen covers all; for dementia/epilepsy: add wandering and seizure-related injury risk</t>
  </si>
  <si>
    <t>Advance Care Planning</t>
  </si>
  <si>
    <t>Alzheimer’s (#16), HF (from Set 1), SCD (#26 — severe disease), HIV (#24 — advanced)</t>
  </si>
  <si>
    <t>One ACP document satisfies all; update annually or with significant disease progression</t>
  </si>
  <si>
    <t>Caregiver Burden Assessment</t>
  </si>
  <si>
    <t>Alzheimer’s (#16), Stroke (#17 — high mRS), Epilepsy (#23 — uncontrolled), SCD (#26 — pediatric)</t>
  </si>
  <si>
    <t>One caregiver assessment per visit; use condition-specific tools (Zarit for dementia, modified for pediatric SCD)</t>
  </si>
  <si>
    <t>Ophthalmologic Screening</t>
  </si>
  <si>
    <t>SLE (#27 — HCQ toxicity), SCD (#26 — retinopathy), plus DM (retinopathy) from Set 1</t>
  </si>
  <si>
    <t>Coordinate into single annual eye exam when possible; document separate indications for each condition</t>
  </si>
  <si>
    <t>Weight Management / BMI</t>
  </si>
  <si>
    <t>OSA (#29), OA (#19), Gout (#28), plus Obesity, DM, HTN from Set 1</t>
  </si>
  <si>
    <t>Single BMI + counseling session covers all; for OSA: document that 10% weight loss reduces AHI by 26%</t>
  </si>
  <si>
    <t>HCC Surveillance (Ultrasound ± AFP)</t>
  </si>
  <si>
    <t>HCV (#25 — if cirrhotic), plus CLD (if cirrhotic) from Set 1</t>
  </si>
  <si>
    <t>One q6-month ultrasound satisfies both; continues indefinitely even after HCV cure if cirrhosis was present</t>
  </si>
  <si>
    <t>MEDGNOSIS CARE GAP BUNDLE MASTER INDEX — ALL 30 CHRONIC DISEASES</t>
  </si>
  <si>
    <t>ICD-10</t>
  </si>
  <si>
    <t>Type 2 Diabetes Mellitus</t>
  </si>
  <si>
    <t>E11.x</t>
  </si>
  <si>
    <t>Hypertension (HTN)</t>
  </si>
  <si>
    <t>I10–I16</t>
  </si>
  <si>
    <t>Coronary Artery Disease (CAD)</t>
  </si>
  <si>
    <t>I25.x</t>
  </si>
  <si>
    <t>Heart Failure (HF)</t>
  </si>
  <si>
    <t>I50.x</t>
  </si>
  <si>
    <t>COPD</t>
  </si>
  <si>
    <t>J44.x</t>
  </si>
  <si>
    <t>Asthma</t>
  </si>
  <si>
    <t>J45.x</t>
  </si>
  <si>
    <t>Chronic Kidney Disease (CKD)</t>
  </si>
  <si>
    <t>N18.x</t>
  </si>
  <si>
    <t>Atrial Fibrillation (AFib)</t>
  </si>
  <si>
    <t>I48.x</t>
  </si>
  <si>
    <t>Major Depressive Disorder (MDD)</t>
  </si>
  <si>
    <t>F32–F33</t>
  </si>
  <si>
    <t>Osteoporosis</t>
  </si>
  <si>
    <t>M80–M81</t>
  </si>
  <si>
    <t>Obesity</t>
  </si>
  <si>
    <t>E66.x</t>
  </si>
  <si>
    <t>Chronic Liver Disease / NAFLD-MASLD</t>
  </si>
  <si>
    <t>K76.0 / K74.x</t>
  </si>
  <si>
    <t>Rheumatoid Arthritis (RA)</t>
  </si>
  <si>
    <t>M05–M06</t>
  </si>
  <si>
    <t>Peripheral Artery Disease (PAD)</t>
  </si>
  <si>
    <t>I73.9 / I70.2x</t>
  </si>
  <si>
    <t>Hypothyroidism</t>
  </si>
  <si>
    <t>E03.x</t>
  </si>
  <si>
    <t>SET 2 — DISEASES 16–30 (THIS WORKBOOK)</t>
  </si>
  <si>
    <t>GRAND TOTAL (ALL 30 CONDITIONS)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</si>
</sst>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1B2A4A"/>
      <name val="Arial"/>
      <family val="2"/>
    </font>
    <font>
      <b/>
      <sz val="10"/>
      <color rgb="FF1A1A2E"/>
      <name val="Arial"/>
      <family val="2"/>
    </font>
    <font>
      <sz val="10"/>
      <color rgb="FF1A1A2E"/>
      <name val="Arial"/>
      <family val="2"/>
    </font>
    <font>
      <b/>
      <sz val="10"/>
      <color rgb="FF1B2A4A"/>
      <name val="Arial"/>
      <family val="2"/>
    </font>
    <font>
      <b/>
      <sz val="13"/>
      <color rgb="FFFFFFFF"/>
      <name val="Arial"/>
      <family val="2"/>
    </font>
    <font>
      <b/>
      <sz val="10"/>
      <color rgb="FF27AE60"/>
      <name val="Arial"/>
      <family val="2"/>
    </font>
    <font>
      <b/>
      <sz val="10"/>
      <color rgb="FFE74C3C"/>
      <name val="Arial"/>
      <family val="2"/>
    </font>
    <font>
      <b/>
      <sz val="10"/>
      <color rgb="FF95A5A6"/>
      <name val="Arial"/>
      <family val="2"/>
    </font>
    <font>
      <b/>
      <sz val="10"/>
      <color rgb="FF3498DB"/>
      <name val="Arial"/>
      <family val="2"/>
    </font>
    <font>
      <b/>
      <sz val="10"/>
      <color rgb="FFF39C12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1A1A2E"/>
      </patternFill>
    </fill>
    <fill>
      <patternFill patternType="solid">
        <fgColor rgb="FFE8ECF1"/>
        <bgColor rgb="FFF5F7FA"/>
      </patternFill>
    </fill>
    <fill>
      <patternFill patternType="solid">
        <fgColor rgb="FFF5F7FA"/>
        <bgColor rgb="FFFFFFFF"/>
      </patternFill>
    </fill>
    <fill>
      <patternFill patternType="solid">
        <fgColor rgb="FFE74C3C"/>
        <bgColor rgb="FFFF8080"/>
      </patternFill>
    </fill>
    <fill>
      <patternFill patternType="solid">
        <fgColor rgb="FF27AE60"/>
        <bgColor rgb="FF2E86AB"/>
      </patternFill>
    </fill>
    <fill>
      <patternFill patternType="solid">
        <fgColor rgb="FF8E44AD"/>
        <bgColor rgb="FF993366"/>
      </patternFill>
    </fill>
    <fill>
      <patternFill patternType="solid">
        <fgColor rgb="FF2E86AB"/>
        <bgColor rgb="FF3498DB"/>
      </patternFill>
    </fill>
  </fills>
  <borders count="2">
    <border>
      <left/>
      <right/>
      <top/>
      <bottom/>
      <diagonal/>
    </border>
    <border>
      <left style="thin">
        <color rgb="FFC0C7D0"/>
      </left>
      <right style="thin">
        <color rgb="FFC0C7D0"/>
      </right>
      <top style="thin">
        <color rgb="FFC0C7D0"/>
      </top>
      <bottom style="thin">
        <color rgb="FFC0C7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3" fillId="8" borderId="1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2" fillId="3" borderId="0" xfId="0" applyFont="1" applyFill="1"/>
    <xf numFmtId="0" fontId="5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C0C7D0"/>
      <rgbColor rgb="FF808080"/>
      <rgbColor rgb="FF9999FF"/>
      <rgbColor rgb="FF8E44AD"/>
      <rgbColor rgb="FFF5F7FA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39C12"/>
      <rgbColor rgb="FFE74C3C"/>
      <rgbColor rgb="FF666699"/>
      <rgbColor rgb="FF95A5A6"/>
      <rgbColor rgb="FF003366"/>
      <rgbColor rgb="FF27AE60"/>
      <rgbColor rgb="FF003300"/>
      <rgbColor rgb="FF1A1A2E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G148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14" customWidth="1"/>
    <col min="2" max="2" width="22" customWidth="1"/>
    <col min="3" max="3" width="30" customWidth="1"/>
    <col min="4" max="4" width="52" customWidth="1"/>
    <col min="5" max="5" width="28" customWidth="1"/>
    <col min="6" max="6" width="26" customWidth="1"/>
    <col min="7" max="7" width="8" customWidth="1"/>
  </cols>
  <sheetData>
    <row r="1" spans="1:7" ht="30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2">
      <c r="A2" s="7" t="s">
        <v>7</v>
      </c>
      <c r="B2" s="7"/>
      <c r="C2" s="7"/>
      <c r="D2" s="7"/>
      <c r="E2" s="7"/>
      <c r="F2" s="7"/>
      <c r="G2" s="7"/>
    </row>
    <row r="3" spans="1:7" ht="28" x14ac:dyDescent="0.2">
      <c r="A3" s="9" t="s">
        <v>8</v>
      </c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1">
        <v>9</v>
      </c>
    </row>
    <row r="4" spans="1:7" ht="42" x14ac:dyDescent="0.2">
      <c r="A4" s="12" t="s">
        <v>14</v>
      </c>
      <c r="B4" s="13" t="s">
        <v>9</v>
      </c>
      <c r="C4" s="13" t="s">
        <v>15</v>
      </c>
      <c r="D4" s="13" t="s">
        <v>16</v>
      </c>
      <c r="E4" s="13" t="s">
        <v>17</v>
      </c>
      <c r="F4" s="13" t="s">
        <v>13</v>
      </c>
      <c r="G4" s="14">
        <v>9</v>
      </c>
    </row>
    <row r="5" spans="1:7" ht="28" x14ac:dyDescent="0.2">
      <c r="A5" s="9" t="s">
        <v>18</v>
      </c>
      <c r="B5" s="10" t="s">
        <v>9</v>
      </c>
      <c r="C5" s="10" t="s">
        <v>19</v>
      </c>
      <c r="D5" s="10" t="s">
        <v>20</v>
      </c>
      <c r="E5" s="10" t="s">
        <v>21</v>
      </c>
      <c r="F5" s="10" t="s">
        <v>22</v>
      </c>
      <c r="G5" s="11">
        <v>9</v>
      </c>
    </row>
    <row r="6" spans="1:7" ht="28" x14ac:dyDescent="0.2">
      <c r="A6" s="12" t="s">
        <v>23</v>
      </c>
      <c r="B6" s="13" t="s">
        <v>9</v>
      </c>
      <c r="C6" s="13" t="s">
        <v>24</v>
      </c>
      <c r="D6" s="13" t="s">
        <v>25</v>
      </c>
      <c r="E6" s="13" t="s">
        <v>26</v>
      </c>
      <c r="F6" s="13" t="s">
        <v>27</v>
      </c>
      <c r="G6" s="14">
        <v>9</v>
      </c>
    </row>
    <row r="7" spans="1:7" ht="42" x14ac:dyDescent="0.2">
      <c r="A7" s="9" t="s">
        <v>28</v>
      </c>
      <c r="B7" s="10" t="s">
        <v>9</v>
      </c>
      <c r="C7" s="10" t="s">
        <v>29</v>
      </c>
      <c r="D7" s="10" t="s">
        <v>30</v>
      </c>
      <c r="E7" s="10" t="s">
        <v>21</v>
      </c>
      <c r="F7" s="10" t="s">
        <v>31</v>
      </c>
      <c r="G7" s="11">
        <v>9</v>
      </c>
    </row>
    <row r="8" spans="1:7" ht="42" x14ac:dyDescent="0.2">
      <c r="A8" s="12" t="s">
        <v>32</v>
      </c>
      <c r="B8" s="13" t="s">
        <v>9</v>
      </c>
      <c r="C8" s="13" t="s">
        <v>33</v>
      </c>
      <c r="D8" s="13" t="s">
        <v>34</v>
      </c>
      <c r="E8" s="13" t="s">
        <v>35</v>
      </c>
      <c r="F8" s="13" t="s">
        <v>36</v>
      </c>
      <c r="G8" s="14">
        <v>9</v>
      </c>
    </row>
    <row r="9" spans="1:7" ht="28" x14ac:dyDescent="0.2">
      <c r="A9" s="9" t="s">
        <v>37</v>
      </c>
      <c r="B9" s="10" t="s">
        <v>9</v>
      </c>
      <c r="C9" s="10" t="s">
        <v>38</v>
      </c>
      <c r="D9" s="10" t="s">
        <v>39</v>
      </c>
      <c r="E9" s="10" t="s">
        <v>17</v>
      </c>
      <c r="F9" s="10" t="s">
        <v>40</v>
      </c>
      <c r="G9" s="11">
        <v>9</v>
      </c>
    </row>
    <row r="10" spans="1:7" ht="28" x14ac:dyDescent="0.2">
      <c r="A10" s="12" t="s">
        <v>41</v>
      </c>
      <c r="B10" s="13" t="s">
        <v>9</v>
      </c>
      <c r="C10" s="13" t="s">
        <v>42</v>
      </c>
      <c r="D10" s="13" t="s">
        <v>43</v>
      </c>
      <c r="E10" s="13" t="s">
        <v>21</v>
      </c>
      <c r="F10" s="13" t="s">
        <v>44</v>
      </c>
      <c r="G10" s="14">
        <v>9</v>
      </c>
    </row>
    <row r="11" spans="1:7" ht="28" x14ac:dyDescent="0.2">
      <c r="A11" s="9" t="s">
        <v>45</v>
      </c>
      <c r="B11" s="10" t="s">
        <v>9</v>
      </c>
      <c r="C11" s="10" t="s">
        <v>46</v>
      </c>
      <c r="D11" s="10" t="s">
        <v>47</v>
      </c>
      <c r="E11" s="10" t="s">
        <v>35</v>
      </c>
      <c r="F11" s="10" t="s">
        <v>48</v>
      </c>
      <c r="G11" s="11">
        <v>9</v>
      </c>
    </row>
    <row r="13" spans="1:7" x14ac:dyDescent="0.2">
      <c r="A13" s="7" t="s">
        <v>49</v>
      </c>
      <c r="B13" s="7"/>
      <c r="C13" s="7"/>
      <c r="D13" s="7"/>
      <c r="E13" s="7"/>
      <c r="F13" s="7"/>
      <c r="G13" s="7"/>
    </row>
    <row r="14" spans="1:7" ht="42" x14ac:dyDescent="0.2">
      <c r="A14" s="9" t="s">
        <v>50</v>
      </c>
      <c r="B14" s="10" t="s">
        <v>51</v>
      </c>
      <c r="C14" s="10" t="s">
        <v>52</v>
      </c>
      <c r="D14" s="10" t="s">
        <v>53</v>
      </c>
      <c r="E14" s="10" t="s">
        <v>35</v>
      </c>
      <c r="F14" s="10" t="s">
        <v>54</v>
      </c>
      <c r="G14" s="11">
        <v>8</v>
      </c>
    </row>
    <row r="15" spans="1:7" ht="42" x14ac:dyDescent="0.2">
      <c r="A15" s="12" t="s">
        <v>55</v>
      </c>
      <c r="B15" s="13" t="s">
        <v>51</v>
      </c>
      <c r="C15" s="13" t="s">
        <v>56</v>
      </c>
      <c r="D15" s="13" t="s">
        <v>57</v>
      </c>
      <c r="E15" s="13" t="s">
        <v>35</v>
      </c>
      <c r="F15" s="13" t="s">
        <v>58</v>
      </c>
      <c r="G15" s="14">
        <v>8</v>
      </c>
    </row>
    <row r="16" spans="1:7" ht="42" x14ac:dyDescent="0.2">
      <c r="A16" s="9" t="s">
        <v>59</v>
      </c>
      <c r="B16" s="10" t="s">
        <v>51</v>
      </c>
      <c r="C16" s="10" t="s">
        <v>60</v>
      </c>
      <c r="D16" s="10" t="s">
        <v>61</v>
      </c>
      <c r="E16" s="10" t="s">
        <v>26</v>
      </c>
      <c r="F16" s="10" t="s">
        <v>62</v>
      </c>
      <c r="G16" s="11">
        <v>8</v>
      </c>
    </row>
    <row r="17" spans="1:7" ht="42" x14ac:dyDescent="0.2">
      <c r="A17" s="12" t="s">
        <v>63</v>
      </c>
      <c r="B17" s="13" t="s">
        <v>51</v>
      </c>
      <c r="C17" s="13" t="s">
        <v>64</v>
      </c>
      <c r="D17" s="13" t="s">
        <v>65</v>
      </c>
      <c r="E17" s="13" t="s">
        <v>21</v>
      </c>
      <c r="F17" s="13" t="s">
        <v>66</v>
      </c>
      <c r="G17" s="14">
        <v>8</v>
      </c>
    </row>
    <row r="18" spans="1:7" ht="42" x14ac:dyDescent="0.2">
      <c r="A18" s="9" t="s">
        <v>67</v>
      </c>
      <c r="B18" s="10" t="s">
        <v>51</v>
      </c>
      <c r="C18" s="10" t="s">
        <v>68</v>
      </c>
      <c r="D18" s="10" t="s">
        <v>69</v>
      </c>
      <c r="E18" s="10" t="s">
        <v>26</v>
      </c>
      <c r="F18" s="10" t="s">
        <v>70</v>
      </c>
      <c r="G18" s="11">
        <v>8</v>
      </c>
    </row>
    <row r="19" spans="1:7" ht="42" x14ac:dyDescent="0.2">
      <c r="A19" s="12" t="s">
        <v>71</v>
      </c>
      <c r="B19" s="13" t="s">
        <v>51</v>
      </c>
      <c r="C19" s="13" t="s">
        <v>72</v>
      </c>
      <c r="D19" s="13" t="s">
        <v>73</v>
      </c>
      <c r="E19" s="13" t="s">
        <v>74</v>
      </c>
      <c r="F19" s="13" t="s">
        <v>75</v>
      </c>
      <c r="G19" s="14">
        <v>8</v>
      </c>
    </row>
    <row r="20" spans="1:7" ht="42" x14ac:dyDescent="0.2">
      <c r="A20" s="9" t="s">
        <v>76</v>
      </c>
      <c r="B20" s="10" t="s">
        <v>51</v>
      </c>
      <c r="C20" s="10" t="s">
        <v>77</v>
      </c>
      <c r="D20" s="10" t="s">
        <v>78</v>
      </c>
      <c r="E20" s="10" t="s">
        <v>79</v>
      </c>
      <c r="F20" s="10" t="s">
        <v>75</v>
      </c>
      <c r="G20" s="11">
        <v>8</v>
      </c>
    </row>
    <row r="21" spans="1:7" ht="42" x14ac:dyDescent="0.2">
      <c r="A21" s="12" t="s">
        <v>80</v>
      </c>
      <c r="B21" s="13" t="s">
        <v>51</v>
      </c>
      <c r="C21" s="13" t="s">
        <v>81</v>
      </c>
      <c r="D21" s="13" t="s">
        <v>82</v>
      </c>
      <c r="E21" s="13" t="s">
        <v>83</v>
      </c>
      <c r="F21" s="13" t="s">
        <v>84</v>
      </c>
      <c r="G21" s="14">
        <v>8</v>
      </c>
    </row>
    <row r="23" spans="1:7" x14ac:dyDescent="0.2">
      <c r="A23" s="7" t="s">
        <v>85</v>
      </c>
      <c r="B23" s="7"/>
      <c r="C23" s="7"/>
      <c r="D23" s="7"/>
      <c r="E23" s="7"/>
      <c r="F23" s="7"/>
      <c r="G23" s="7"/>
    </row>
    <row r="24" spans="1:7" ht="28" x14ac:dyDescent="0.2">
      <c r="A24" s="9" t="s">
        <v>86</v>
      </c>
      <c r="B24" s="10" t="s">
        <v>87</v>
      </c>
      <c r="C24" s="10" t="s">
        <v>88</v>
      </c>
      <c r="D24" s="10" t="s">
        <v>89</v>
      </c>
      <c r="E24" s="10" t="s">
        <v>26</v>
      </c>
      <c r="F24" s="10" t="s">
        <v>90</v>
      </c>
      <c r="G24" s="11">
        <v>9</v>
      </c>
    </row>
    <row r="25" spans="1:7" ht="28" x14ac:dyDescent="0.2">
      <c r="A25" s="12" t="s">
        <v>91</v>
      </c>
      <c r="B25" s="13" t="s">
        <v>87</v>
      </c>
      <c r="C25" s="13" t="s">
        <v>92</v>
      </c>
      <c r="D25" s="13" t="s">
        <v>93</v>
      </c>
      <c r="E25" s="13" t="s">
        <v>94</v>
      </c>
      <c r="F25" s="13" t="s">
        <v>95</v>
      </c>
      <c r="G25" s="14">
        <v>9</v>
      </c>
    </row>
    <row r="26" spans="1:7" ht="28" x14ac:dyDescent="0.2">
      <c r="A26" s="9" t="s">
        <v>96</v>
      </c>
      <c r="B26" s="10" t="s">
        <v>87</v>
      </c>
      <c r="C26" s="10" t="s">
        <v>97</v>
      </c>
      <c r="D26" s="10" t="s">
        <v>98</v>
      </c>
      <c r="E26" s="10" t="s">
        <v>99</v>
      </c>
      <c r="F26" s="10" t="s">
        <v>100</v>
      </c>
      <c r="G26" s="11">
        <v>9</v>
      </c>
    </row>
    <row r="27" spans="1:7" ht="28" x14ac:dyDescent="0.2">
      <c r="A27" s="12" t="s">
        <v>101</v>
      </c>
      <c r="B27" s="13" t="s">
        <v>87</v>
      </c>
      <c r="C27" s="13" t="s">
        <v>102</v>
      </c>
      <c r="D27" s="13" t="s">
        <v>103</v>
      </c>
      <c r="E27" s="13" t="s">
        <v>104</v>
      </c>
      <c r="F27" s="13" t="s">
        <v>95</v>
      </c>
      <c r="G27" s="14">
        <v>9</v>
      </c>
    </row>
    <row r="28" spans="1:7" ht="28" x14ac:dyDescent="0.2">
      <c r="A28" s="9" t="s">
        <v>105</v>
      </c>
      <c r="B28" s="10" t="s">
        <v>87</v>
      </c>
      <c r="C28" s="10" t="s">
        <v>106</v>
      </c>
      <c r="D28" s="10" t="s">
        <v>107</v>
      </c>
      <c r="E28" s="10" t="s">
        <v>94</v>
      </c>
      <c r="F28" s="10" t="s">
        <v>108</v>
      </c>
      <c r="G28" s="11">
        <v>9</v>
      </c>
    </row>
    <row r="29" spans="1:7" ht="28" x14ac:dyDescent="0.2">
      <c r="A29" s="12" t="s">
        <v>109</v>
      </c>
      <c r="B29" s="13" t="s">
        <v>87</v>
      </c>
      <c r="C29" s="13" t="s">
        <v>110</v>
      </c>
      <c r="D29" s="13" t="s">
        <v>111</v>
      </c>
      <c r="E29" s="13" t="s">
        <v>94</v>
      </c>
      <c r="F29" s="13" t="s">
        <v>112</v>
      </c>
      <c r="G29" s="14">
        <v>9</v>
      </c>
    </row>
    <row r="30" spans="1:7" ht="42" x14ac:dyDescent="0.2">
      <c r="A30" s="9" t="s">
        <v>113</v>
      </c>
      <c r="B30" s="10" t="s">
        <v>87</v>
      </c>
      <c r="C30" s="10" t="s">
        <v>114</v>
      </c>
      <c r="D30" s="10" t="s">
        <v>115</v>
      </c>
      <c r="E30" s="10" t="s">
        <v>26</v>
      </c>
      <c r="F30" s="10" t="s">
        <v>116</v>
      </c>
      <c r="G30" s="11">
        <v>9</v>
      </c>
    </row>
    <row r="31" spans="1:7" ht="28" x14ac:dyDescent="0.2">
      <c r="A31" s="12" t="s">
        <v>117</v>
      </c>
      <c r="B31" s="13" t="s">
        <v>87</v>
      </c>
      <c r="C31" s="13" t="s">
        <v>118</v>
      </c>
      <c r="D31" s="13" t="s">
        <v>119</v>
      </c>
      <c r="E31" s="13" t="s">
        <v>26</v>
      </c>
      <c r="F31" s="13" t="s">
        <v>90</v>
      </c>
      <c r="G31" s="14">
        <v>9</v>
      </c>
    </row>
    <row r="32" spans="1:7" ht="28" x14ac:dyDescent="0.2">
      <c r="A32" s="9" t="s">
        <v>120</v>
      </c>
      <c r="B32" s="10" t="s">
        <v>87</v>
      </c>
      <c r="C32" s="10" t="s">
        <v>121</v>
      </c>
      <c r="D32" s="10" t="s">
        <v>122</v>
      </c>
      <c r="E32" s="10" t="s">
        <v>35</v>
      </c>
      <c r="F32" s="10" t="s">
        <v>123</v>
      </c>
      <c r="G32" s="11">
        <v>9</v>
      </c>
    </row>
    <row r="34" spans="1:7" x14ac:dyDescent="0.2">
      <c r="A34" s="7" t="s">
        <v>124</v>
      </c>
      <c r="B34" s="7"/>
      <c r="C34" s="7"/>
      <c r="D34" s="7"/>
      <c r="E34" s="7"/>
      <c r="F34" s="7"/>
      <c r="G34" s="7"/>
    </row>
    <row r="35" spans="1:7" ht="28" x14ac:dyDescent="0.2">
      <c r="A35" s="9" t="s">
        <v>125</v>
      </c>
      <c r="B35" s="10" t="s">
        <v>126</v>
      </c>
      <c r="C35" s="10" t="s">
        <v>127</v>
      </c>
      <c r="D35" s="10" t="s">
        <v>128</v>
      </c>
      <c r="E35" s="10" t="s">
        <v>26</v>
      </c>
      <c r="F35" s="10" t="s">
        <v>129</v>
      </c>
      <c r="G35" s="11">
        <v>7</v>
      </c>
    </row>
    <row r="36" spans="1:7" ht="28" x14ac:dyDescent="0.2">
      <c r="A36" s="12" t="s">
        <v>130</v>
      </c>
      <c r="B36" s="13" t="s">
        <v>126</v>
      </c>
      <c r="C36" s="13" t="s">
        <v>131</v>
      </c>
      <c r="D36" s="13" t="s">
        <v>132</v>
      </c>
      <c r="E36" s="13" t="s">
        <v>35</v>
      </c>
      <c r="F36" s="13" t="s">
        <v>133</v>
      </c>
      <c r="G36" s="14">
        <v>7</v>
      </c>
    </row>
    <row r="37" spans="1:7" ht="28" x14ac:dyDescent="0.2">
      <c r="A37" s="9" t="s">
        <v>134</v>
      </c>
      <c r="B37" s="10" t="s">
        <v>126</v>
      </c>
      <c r="C37" s="10" t="s">
        <v>135</v>
      </c>
      <c r="D37" s="10" t="s">
        <v>136</v>
      </c>
      <c r="E37" s="10" t="s">
        <v>35</v>
      </c>
      <c r="F37" s="10" t="s">
        <v>137</v>
      </c>
      <c r="G37" s="11">
        <v>7</v>
      </c>
    </row>
    <row r="38" spans="1:7" ht="28" x14ac:dyDescent="0.2">
      <c r="A38" s="12" t="s">
        <v>138</v>
      </c>
      <c r="B38" s="13" t="s">
        <v>126</v>
      </c>
      <c r="C38" s="13" t="s">
        <v>139</v>
      </c>
      <c r="D38" s="13" t="s">
        <v>140</v>
      </c>
      <c r="E38" s="13" t="s">
        <v>26</v>
      </c>
      <c r="F38" s="13" t="s">
        <v>137</v>
      </c>
      <c r="G38" s="14">
        <v>7</v>
      </c>
    </row>
    <row r="39" spans="1:7" ht="28" x14ac:dyDescent="0.2">
      <c r="A39" s="9" t="s">
        <v>141</v>
      </c>
      <c r="B39" s="10" t="s">
        <v>126</v>
      </c>
      <c r="C39" s="10" t="s">
        <v>142</v>
      </c>
      <c r="D39" s="10" t="s">
        <v>143</v>
      </c>
      <c r="E39" s="10" t="s">
        <v>35</v>
      </c>
      <c r="F39" s="10" t="s">
        <v>144</v>
      </c>
      <c r="G39" s="11">
        <v>7</v>
      </c>
    </row>
    <row r="40" spans="1:7" ht="28" x14ac:dyDescent="0.2">
      <c r="A40" s="12" t="s">
        <v>145</v>
      </c>
      <c r="B40" s="13" t="s">
        <v>126</v>
      </c>
      <c r="C40" s="13" t="s">
        <v>146</v>
      </c>
      <c r="D40" s="13" t="s">
        <v>147</v>
      </c>
      <c r="E40" s="13" t="s">
        <v>148</v>
      </c>
      <c r="F40" s="13" t="s">
        <v>149</v>
      </c>
      <c r="G40" s="14">
        <v>7</v>
      </c>
    </row>
    <row r="41" spans="1:7" ht="28" x14ac:dyDescent="0.2">
      <c r="A41" s="9" t="s">
        <v>150</v>
      </c>
      <c r="B41" s="10" t="s">
        <v>126</v>
      </c>
      <c r="C41" s="10" t="s">
        <v>151</v>
      </c>
      <c r="D41" s="10" t="s">
        <v>152</v>
      </c>
      <c r="E41" s="10" t="s">
        <v>153</v>
      </c>
      <c r="F41" s="10" t="s">
        <v>154</v>
      </c>
      <c r="G41" s="11">
        <v>7</v>
      </c>
    </row>
    <row r="43" spans="1:7" x14ac:dyDescent="0.2">
      <c r="A43" s="7" t="s">
        <v>155</v>
      </c>
      <c r="B43" s="7"/>
      <c r="C43" s="7"/>
      <c r="D43" s="7"/>
      <c r="E43" s="7"/>
      <c r="F43" s="7"/>
      <c r="G43" s="7"/>
    </row>
    <row r="44" spans="1:7" ht="28" x14ac:dyDescent="0.2">
      <c r="A44" s="9" t="s">
        <v>156</v>
      </c>
      <c r="B44" s="10" t="s">
        <v>157</v>
      </c>
      <c r="C44" s="10" t="s">
        <v>158</v>
      </c>
      <c r="D44" s="10" t="s">
        <v>159</v>
      </c>
      <c r="E44" s="10" t="s">
        <v>26</v>
      </c>
      <c r="F44" s="10" t="s">
        <v>160</v>
      </c>
      <c r="G44" s="11">
        <v>7</v>
      </c>
    </row>
    <row r="45" spans="1:7" ht="28" x14ac:dyDescent="0.2">
      <c r="A45" s="12" t="s">
        <v>161</v>
      </c>
      <c r="B45" s="13" t="s">
        <v>157</v>
      </c>
      <c r="C45" s="13" t="s">
        <v>162</v>
      </c>
      <c r="D45" s="13" t="s">
        <v>163</v>
      </c>
      <c r="E45" s="13" t="s">
        <v>164</v>
      </c>
      <c r="F45" s="13" t="s">
        <v>165</v>
      </c>
      <c r="G45" s="14">
        <v>7</v>
      </c>
    </row>
    <row r="46" spans="1:7" ht="28" x14ac:dyDescent="0.2">
      <c r="A46" s="9" t="s">
        <v>166</v>
      </c>
      <c r="B46" s="10" t="s">
        <v>157</v>
      </c>
      <c r="C46" s="10" t="s">
        <v>167</v>
      </c>
      <c r="D46" s="10" t="s">
        <v>168</v>
      </c>
      <c r="E46" s="10" t="s">
        <v>26</v>
      </c>
      <c r="F46" s="10" t="s">
        <v>160</v>
      </c>
      <c r="G46" s="11">
        <v>7</v>
      </c>
    </row>
    <row r="47" spans="1:7" ht="28" x14ac:dyDescent="0.2">
      <c r="A47" s="12" t="s">
        <v>169</v>
      </c>
      <c r="B47" s="13" t="s">
        <v>157</v>
      </c>
      <c r="C47" s="13" t="s">
        <v>170</v>
      </c>
      <c r="D47" s="13" t="s">
        <v>171</v>
      </c>
      <c r="E47" s="13" t="s">
        <v>172</v>
      </c>
      <c r="F47" s="13" t="s">
        <v>165</v>
      </c>
      <c r="G47" s="14">
        <v>7</v>
      </c>
    </row>
    <row r="48" spans="1:7" ht="28" x14ac:dyDescent="0.2">
      <c r="A48" s="9" t="s">
        <v>173</v>
      </c>
      <c r="B48" s="10" t="s">
        <v>157</v>
      </c>
      <c r="C48" s="10" t="s">
        <v>174</v>
      </c>
      <c r="D48" s="10" t="s">
        <v>175</v>
      </c>
      <c r="E48" s="10" t="s">
        <v>35</v>
      </c>
      <c r="F48" s="10" t="s">
        <v>160</v>
      </c>
      <c r="G48" s="11">
        <v>7</v>
      </c>
    </row>
    <row r="49" spans="1:7" ht="28" x14ac:dyDescent="0.2">
      <c r="A49" s="12" t="s">
        <v>176</v>
      </c>
      <c r="B49" s="13" t="s">
        <v>157</v>
      </c>
      <c r="C49" s="13" t="s">
        <v>177</v>
      </c>
      <c r="D49" s="13" t="s">
        <v>178</v>
      </c>
      <c r="E49" s="13" t="s">
        <v>35</v>
      </c>
      <c r="F49" s="13" t="s">
        <v>179</v>
      </c>
      <c r="G49" s="14">
        <v>7</v>
      </c>
    </row>
    <row r="50" spans="1:7" ht="28" x14ac:dyDescent="0.2">
      <c r="A50" s="9" t="s">
        <v>180</v>
      </c>
      <c r="B50" s="10" t="s">
        <v>157</v>
      </c>
      <c r="C50" s="10" t="s">
        <v>181</v>
      </c>
      <c r="D50" s="10" t="s">
        <v>182</v>
      </c>
      <c r="E50" s="10" t="s">
        <v>183</v>
      </c>
      <c r="F50" s="10" t="s">
        <v>184</v>
      </c>
      <c r="G50" s="11">
        <v>7</v>
      </c>
    </row>
    <row r="52" spans="1:7" x14ac:dyDescent="0.2">
      <c r="A52" s="7" t="s">
        <v>185</v>
      </c>
      <c r="B52" s="7"/>
      <c r="C52" s="7"/>
      <c r="D52" s="7"/>
      <c r="E52" s="7"/>
      <c r="F52" s="7"/>
      <c r="G52" s="7"/>
    </row>
    <row r="53" spans="1:7" ht="28" x14ac:dyDescent="0.2">
      <c r="A53" s="9" t="s">
        <v>186</v>
      </c>
      <c r="B53" s="10" t="s">
        <v>187</v>
      </c>
      <c r="C53" s="10" t="s">
        <v>188</v>
      </c>
      <c r="D53" s="10" t="s">
        <v>189</v>
      </c>
      <c r="E53" s="10" t="s">
        <v>164</v>
      </c>
      <c r="F53" s="10" t="s">
        <v>190</v>
      </c>
      <c r="G53" s="11">
        <v>6</v>
      </c>
    </row>
    <row r="54" spans="1:7" ht="28" x14ac:dyDescent="0.2">
      <c r="A54" s="12" t="s">
        <v>191</v>
      </c>
      <c r="B54" s="13" t="s">
        <v>187</v>
      </c>
      <c r="C54" s="13" t="s">
        <v>192</v>
      </c>
      <c r="D54" s="13" t="s">
        <v>193</v>
      </c>
      <c r="E54" s="13" t="s">
        <v>194</v>
      </c>
      <c r="F54" s="13" t="s">
        <v>195</v>
      </c>
      <c r="G54" s="14">
        <v>6</v>
      </c>
    </row>
    <row r="55" spans="1:7" ht="28" x14ac:dyDescent="0.2">
      <c r="A55" s="9" t="s">
        <v>196</v>
      </c>
      <c r="B55" s="10" t="s">
        <v>187</v>
      </c>
      <c r="C55" s="10" t="s">
        <v>197</v>
      </c>
      <c r="D55" s="10" t="s">
        <v>198</v>
      </c>
      <c r="E55" s="10" t="s">
        <v>21</v>
      </c>
      <c r="F55" s="10" t="s">
        <v>190</v>
      </c>
      <c r="G55" s="11">
        <v>6</v>
      </c>
    </row>
    <row r="56" spans="1:7" ht="28" x14ac:dyDescent="0.2">
      <c r="A56" s="12" t="s">
        <v>199</v>
      </c>
      <c r="B56" s="13" t="s">
        <v>187</v>
      </c>
      <c r="C56" s="13" t="s">
        <v>200</v>
      </c>
      <c r="D56" s="13" t="s">
        <v>201</v>
      </c>
      <c r="E56" s="13" t="s">
        <v>202</v>
      </c>
      <c r="F56" s="13" t="s">
        <v>190</v>
      </c>
      <c r="G56" s="14">
        <v>6</v>
      </c>
    </row>
    <row r="57" spans="1:7" ht="28" x14ac:dyDescent="0.2">
      <c r="A57" s="9" t="s">
        <v>203</v>
      </c>
      <c r="B57" s="10" t="s">
        <v>187</v>
      </c>
      <c r="C57" s="10" t="s">
        <v>204</v>
      </c>
      <c r="D57" s="10" t="s">
        <v>205</v>
      </c>
      <c r="E57" s="10" t="s">
        <v>35</v>
      </c>
      <c r="F57" s="10" t="s">
        <v>190</v>
      </c>
      <c r="G57" s="11">
        <v>6</v>
      </c>
    </row>
    <row r="58" spans="1:7" ht="42" x14ac:dyDescent="0.2">
      <c r="A58" s="12" t="s">
        <v>206</v>
      </c>
      <c r="B58" s="13" t="s">
        <v>187</v>
      </c>
      <c r="C58" s="13" t="s">
        <v>151</v>
      </c>
      <c r="D58" s="13" t="s">
        <v>207</v>
      </c>
      <c r="E58" s="13" t="s">
        <v>153</v>
      </c>
      <c r="F58" s="13" t="s">
        <v>190</v>
      </c>
      <c r="G58" s="14">
        <v>6</v>
      </c>
    </row>
    <row r="60" spans="1:7" x14ac:dyDescent="0.2">
      <c r="A60" s="7" t="s">
        <v>208</v>
      </c>
      <c r="B60" s="7"/>
      <c r="C60" s="7"/>
      <c r="D60" s="7"/>
      <c r="E60" s="7"/>
      <c r="F60" s="7"/>
      <c r="G60" s="7"/>
    </row>
    <row r="61" spans="1:7" ht="28" x14ac:dyDescent="0.2">
      <c r="A61" s="9" t="s">
        <v>209</v>
      </c>
      <c r="B61" s="10" t="s">
        <v>210</v>
      </c>
      <c r="C61" s="10" t="s">
        <v>211</v>
      </c>
      <c r="D61" s="10" t="s">
        <v>212</v>
      </c>
      <c r="E61" s="10" t="s">
        <v>213</v>
      </c>
      <c r="F61" s="10" t="s">
        <v>214</v>
      </c>
      <c r="G61" s="11">
        <v>7</v>
      </c>
    </row>
    <row r="62" spans="1:7" ht="42" x14ac:dyDescent="0.2">
      <c r="A62" s="12" t="s">
        <v>215</v>
      </c>
      <c r="B62" s="13" t="s">
        <v>210</v>
      </c>
      <c r="C62" s="13" t="s">
        <v>216</v>
      </c>
      <c r="D62" s="13" t="s">
        <v>217</v>
      </c>
      <c r="E62" s="13" t="s">
        <v>26</v>
      </c>
      <c r="F62" s="13" t="s">
        <v>214</v>
      </c>
      <c r="G62" s="14">
        <v>7</v>
      </c>
    </row>
    <row r="63" spans="1:7" ht="42" x14ac:dyDescent="0.2">
      <c r="A63" s="9" t="s">
        <v>218</v>
      </c>
      <c r="B63" s="10" t="s">
        <v>210</v>
      </c>
      <c r="C63" s="10" t="s">
        <v>219</v>
      </c>
      <c r="D63" s="10" t="s">
        <v>220</v>
      </c>
      <c r="E63" s="10" t="s">
        <v>221</v>
      </c>
      <c r="F63" s="10" t="s">
        <v>214</v>
      </c>
      <c r="G63" s="11">
        <v>7</v>
      </c>
    </row>
    <row r="64" spans="1:7" ht="42" x14ac:dyDescent="0.2">
      <c r="A64" s="12" t="s">
        <v>222</v>
      </c>
      <c r="B64" s="13" t="s">
        <v>210</v>
      </c>
      <c r="C64" s="13" t="s">
        <v>223</v>
      </c>
      <c r="D64" s="13" t="s">
        <v>224</v>
      </c>
      <c r="E64" s="13" t="s">
        <v>35</v>
      </c>
      <c r="F64" s="13" t="s">
        <v>225</v>
      </c>
      <c r="G64" s="14">
        <v>7</v>
      </c>
    </row>
    <row r="65" spans="1:7" ht="28" x14ac:dyDescent="0.2">
      <c r="A65" s="9" t="s">
        <v>226</v>
      </c>
      <c r="B65" s="10" t="s">
        <v>210</v>
      </c>
      <c r="C65" s="10" t="s">
        <v>227</v>
      </c>
      <c r="D65" s="10" t="s">
        <v>228</v>
      </c>
      <c r="E65" s="10" t="s">
        <v>35</v>
      </c>
      <c r="F65" s="10" t="s">
        <v>229</v>
      </c>
      <c r="G65" s="11">
        <v>7</v>
      </c>
    </row>
    <row r="66" spans="1:7" ht="28" x14ac:dyDescent="0.2">
      <c r="A66" s="12" t="s">
        <v>230</v>
      </c>
      <c r="B66" s="13" t="s">
        <v>210</v>
      </c>
      <c r="C66" s="13" t="s">
        <v>231</v>
      </c>
      <c r="D66" s="13" t="s">
        <v>232</v>
      </c>
      <c r="E66" s="13" t="s">
        <v>35</v>
      </c>
      <c r="F66" s="13" t="s">
        <v>233</v>
      </c>
      <c r="G66" s="14">
        <v>7</v>
      </c>
    </row>
    <row r="67" spans="1:7" ht="42" x14ac:dyDescent="0.2">
      <c r="A67" s="9" t="s">
        <v>234</v>
      </c>
      <c r="B67" s="10" t="s">
        <v>210</v>
      </c>
      <c r="C67" s="10" t="s">
        <v>235</v>
      </c>
      <c r="D67" s="10" t="s">
        <v>236</v>
      </c>
      <c r="E67" s="10" t="s">
        <v>153</v>
      </c>
      <c r="F67" s="10" t="s">
        <v>237</v>
      </c>
      <c r="G67" s="11">
        <v>7</v>
      </c>
    </row>
    <row r="69" spans="1:7" x14ac:dyDescent="0.2">
      <c r="A69" s="7" t="s">
        <v>238</v>
      </c>
      <c r="B69" s="7"/>
      <c r="C69" s="7"/>
      <c r="D69" s="7"/>
      <c r="E69" s="7"/>
      <c r="F69" s="7"/>
      <c r="G69" s="7"/>
    </row>
    <row r="70" spans="1:7" ht="28" x14ac:dyDescent="0.2">
      <c r="A70" s="9" t="s">
        <v>239</v>
      </c>
      <c r="B70" s="10" t="s">
        <v>240</v>
      </c>
      <c r="C70" s="10" t="s">
        <v>241</v>
      </c>
      <c r="D70" s="10" t="s">
        <v>242</v>
      </c>
      <c r="E70" s="10" t="s">
        <v>26</v>
      </c>
      <c r="F70" s="10" t="s">
        <v>243</v>
      </c>
      <c r="G70" s="11">
        <v>8</v>
      </c>
    </row>
    <row r="71" spans="1:7" ht="28" x14ac:dyDescent="0.2">
      <c r="A71" s="12" t="s">
        <v>244</v>
      </c>
      <c r="B71" s="13" t="s">
        <v>240</v>
      </c>
      <c r="C71" s="13" t="s">
        <v>245</v>
      </c>
      <c r="D71" s="13" t="s">
        <v>246</v>
      </c>
      <c r="E71" s="13" t="s">
        <v>26</v>
      </c>
      <c r="F71" s="13" t="s">
        <v>247</v>
      </c>
      <c r="G71" s="14">
        <v>8</v>
      </c>
    </row>
    <row r="72" spans="1:7" ht="28" x14ac:dyDescent="0.2">
      <c r="A72" s="9" t="s">
        <v>248</v>
      </c>
      <c r="B72" s="10" t="s">
        <v>240</v>
      </c>
      <c r="C72" s="10" t="s">
        <v>249</v>
      </c>
      <c r="D72" s="10" t="s">
        <v>250</v>
      </c>
      <c r="E72" s="10" t="s">
        <v>251</v>
      </c>
      <c r="F72" s="10" t="s">
        <v>247</v>
      </c>
      <c r="G72" s="11">
        <v>8</v>
      </c>
    </row>
    <row r="73" spans="1:7" ht="28" x14ac:dyDescent="0.2">
      <c r="A73" s="12" t="s">
        <v>252</v>
      </c>
      <c r="B73" s="13" t="s">
        <v>240</v>
      </c>
      <c r="C73" s="13" t="s">
        <v>253</v>
      </c>
      <c r="D73" s="13" t="s">
        <v>254</v>
      </c>
      <c r="E73" s="13" t="s">
        <v>164</v>
      </c>
      <c r="F73" s="13" t="s">
        <v>255</v>
      </c>
      <c r="G73" s="14">
        <v>8</v>
      </c>
    </row>
    <row r="74" spans="1:7" ht="28" x14ac:dyDescent="0.2">
      <c r="A74" s="9" t="s">
        <v>256</v>
      </c>
      <c r="B74" s="10" t="s">
        <v>240</v>
      </c>
      <c r="C74" s="10" t="s">
        <v>257</v>
      </c>
      <c r="D74" s="10" t="s">
        <v>258</v>
      </c>
      <c r="E74" s="10" t="s">
        <v>35</v>
      </c>
      <c r="F74" s="10" t="s">
        <v>259</v>
      </c>
      <c r="G74" s="11">
        <v>8</v>
      </c>
    </row>
    <row r="75" spans="1:7" ht="28" x14ac:dyDescent="0.2">
      <c r="A75" s="12" t="s">
        <v>260</v>
      </c>
      <c r="B75" s="13" t="s">
        <v>240</v>
      </c>
      <c r="C75" s="13" t="s">
        <v>261</v>
      </c>
      <c r="D75" s="13" t="s">
        <v>262</v>
      </c>
      <c r="E75" s="13" t="s">
        <v>263</v>
      </c>
      <c r="F75" s="13" t="s">
        <v>264</v>
      </c>
      <c r="G75" s="14">
        <v>8</v>
      </c>
    </row>
    <row r="76" spans="1:7" ht="42" x14ac:dyDescent="0.2">
      <c r="A76" s="9" t="s">
        <v>265</v>
      </c>
      <c r="B76" s="10" t="s">
        <v>240</v>
      </c>
      <c r="C76" s="10" t="s">
        <v>266</v>
      </c>
      <c r="D76" s="10" t="s">
        <v>267</v>
      </c>
      <c r="E76" s="10" t="s">
        <v>17</v>
      </c>
      <c r="F76" s="10" t="s">
        <v>268</v>
      </c>
      <c r="G76" s="11">
        <v>8</v>
      </c>
    </row>
    <row r="77" spans="1:7" ht="28" x14ac:dyDescent="0.2">
      <c r="A77" s="12" t="s">
        <v>269</v>
      </c>
      <c r="B77" s="13" t="s">
        <v>240</v>
      </c>
      <c r="C77" s="13" t="s">
        <v>270</v>
      </c>
      <c r="D77" s="13" t="s">
        <v>271</v>
      </c>
      <c r="E77" s="13" t="s">
        <v>35</v>
      </c>
      <c r="F77" s="13" t="s">
        <v>272</v>
      </c>
      <c r="G77" s="14">
        <v>8</v>
      </c>
    </row>
    <row r="79" spans="1:7" x14ac:dyDescent="0.2">
      <c r="A79" s="7" t="s">
        <v>273</v>
      </c>
      <c r="B79" s="7"/>
      <c r="C79" s="7"/>
      <c r="D79" s="7"/>
      <c r="E79" s="7"/>
      <c r="F79" s="7"/>
      <c r="G79" s="7"/>
    </row>
    <row r="80" spans="1:7" ht="28" x14ac:dyDescent="0.2">
      <c r="A80" s="9" t="s">
        <v>274</v>
      </c>
      <c r="B80" s="10" t="s">
        <v>275</v>
      </c>
      <c r="C80" s="10" t="s">
        <v>276</v>
      </c>
      <c r="D80" s="10" t="s">
        <v>277</v>
      </c>
      <c r="E80" s="10" t="s">
        <v>278</v>
      </c>
      <c r="F80" s="10" t="s">
        <v>279</v>
      </c>
      <c r="G80" s="11">
        <v>10</v>
      </c>
    </row>
    <row r="81" spans="1:7" ht="28" x14ac:dyDescent="0.2">
      <c r="A81" s="12" t="s">
        <v>280</v>
      </c>
      <c r="B81" s="13" t="s">
        <v>275</v>
      </c>
      <c r="C81" s="13" t="s">
        <v>281</v>
      </c>
      <c r="D81" s="13" t="s">
        <v>282</v>
      </c>
      <c r="E81" s="13" t="s">
        <v>164</v>
      </c>
      <c r="F81" s="13" t="s">
        <v>283</v>
      </c>
      <c r="G81" s="14">
        <v>10</v>
      </c>
    </row>
    <row r="82" spans="1:7" ht="28" x14ac:dyDescent="0.2">
      <c r="A82" s="9" t="s">
        <v>284</v>
      </c>
      <c r="B82" s="10" t="s">
        <v>275</v>
      </c>
      <c r="C82" s="10" t="s">
        <v>285</v>
      </c>
      <c r="D82" s="10" t="s">
        <v>286</v>
      </c>
      <c r="E82" s="10" t="s">
        <v>26</v>
      </c>
      <c r="F82" s="10" t="s">
        <v>279</v>
      </c>
      <c r="G82" s="11">
        <v>10</v>
      </c>
    </row>
    <row r="83" spans="1:7" ht="28" x14ac:dyDescent="0.2">
      <c r="A83" s="12" t="s">
        <v>287</v>
      </c>
      <c r="B83" s="13" t="s">
        <v>275</v>
      </c>
      <c r="C83" s="13" t="s">
        <v>288</v>
      </c>
      <c r="D83" s="13" t="s">
        <v>289</v>
      </c>
      <c r="E83" s="13" t="s">
        <v>35</v>
      </c>
      <c r="F83" s="13" t="s">
        <v>283</v>
      </c>
      <c r="G83" s="14">
        <v>10</v>
      </c>
    </row>
    <row r="84" spans="1:7" ht="28" x14ac:dyDescent="0.2">
      <c r="A84" s="9" t="s">
        <v>290</v>
      </c>
      <c r="B84" s="10" t="s">
        <v>275</v>
      </c>
      <c r="C84" s="10" t="s">
        <v>291</v>
      </c>
      <c r="D84" s="10" t="s">
        <v>292</v>
      </c>
      <c r="E84" s="10" t="s">
        <v>293</v>
      </c>
      <c r="F84" s="10" t="s">
        <v>294</v>
      </c>
      <c r="G84" s="11">
        <v>10</v>
      </c>
    </row>
    <row r="85" spans="1:7" ht="28" x14ac:dyDescent="0.2">
      <c r="A85" s="12" t="s">
        <v>295</v>
      </c>
      <c r="B85" s="13" t="s">
        <v>275</v>
      </c>
      <c r="C85" s="13" t="s">
        <v>296</v>
      </c>
      <c r="D85" s="13" t="s">
        <v>297</v>
      </c>
      <c r="E85" s="13" t="s">
        <v>298</v>
      </c>
      <c r="F85" s="13" t="s">
        <v>299</v>
      </c>
      <c r="G85" s="14">
        <v>10</v>
      </c>
    </row>
    <row r="86" spans="1:7" ht="28" x14ac:dyDescent="0.2">
      <c r="A86" s="9" t="s">
        <v>300</v>
      </c>
      <c r="B86" s="10" t="s">
        <v>275</v>
      </c>
      <c r="C86" s="10" t="s">
        <v>301</v>
      </c>
      <c r="D86" s="10" t="s">
        <v>302</v>
      </c>
      <c r="E86" s="10" t="s">
        <v>35</v>
      </c>
      <c r="F86" s="10" t="s">
        <v>303</v>
      </c>
      <c r="G86" s="11">
        <v>10</v>
      </c>
    </row>
    <row r="87" spans="1:7" ht="28" x14ac:dyDescent="0.2">
      <c r="A87" s="12" t="s">
        <v>304</v>
      </c>
      <c r="B87" s="13" t="s">
        <v>275</v>
      </c>
      <c r="C87" s="13" t="s">
        <v>305</v>
      </c>
      <c r="D87" s="13" t="s">
        <v>306</v>
      </c>
      <c r="E87" s="13" t="s">
        <v>164</v>
      </c>
      <c r="F87" s="13" t="s">
        <v>283</v>
      </c>
      <c r="G87" s="14">
        <v>10</v>
      </c>
    </row>
    <row r="88" spans="1:7" ht="28" x14ac:dyDescent="0.2">
      <c r="A88" s="9" t="s">
        <v>307</v>
      </c>
      <c r="B88" s="10" t="s">
        <v>275</v>
      </c>
      <c r="C88" s="10" t="s">
        <v>308</v>
      </c>
      <c r="D88" s="10" t="s">
        <v>309</v>
      </c>
      <c r="E88" s="10" t="s">
        <v>310</v>
      </c>
      <c r="F88" s="10" t="s">
        <v>311</v>
      </c>
      <c r="G88" s="11">
        <v>10</v>
      </c>
    </row>
    <row r="89" spans="1:7" ht="42" x14ac:dyDescent="0.2">
      <c r="A89" s="12" t="s">
        <v>312</v>
      </c>
      <c r="B89" s="13" t="s">
        <v>275</v>
      </c>
      <c r="C89" s="13" t="s">
        <v>313</v>
      </c>
      <c r="D89" s="13" t="s">
        <v>314</v>
      </c>
      <c r="E89" s="13" t="s">
        <v>35</v>
      </c>
      <c r="F89" s="13" t="s">
        <v>315</v>
      </c>
      <c r="G89" s="14">
        <v>10</v>
      </c>
    </row>
    <row r="91" spans="1:7" x14ac:dyDescent="0.2">
      <c r="A91" s="7" t="s">
        <v>316</v>
      </c>
      <c r="B91" s="7"/>
      <c r="C91" s="7"/>
      <c r="D91" s="7"/>
      <c r="E91" s="7"/>
      <c r="F91" s="7"/>
      <c r="G91" s="7"/>
    </row>
    <row r="92" spans="1:7" ht="28" x14ac:dyDescent="0.2">
      <c r="A92" s="9" t="s">
        <v>317</v>
      </c>
      <c r="B92" s="10" t="s">
        <v>318</v>
      </c>
      <c r="C92" s="10" t="s">
        <v>319</v>
      </c>
      <c r="D92" s="10" t="s">
        <v>320</v>
      </c>
      <c r="E92" s="10" t="s">
        <v>321</v>
      </c>
      <c r="F92" s="10" t="s">
        <v>322</v>
      </c>
      <c r="G92" s="11">
        <v>8</v>
      </c>
    </row>
    <row r="93" spans="1:7" ht="28" x14ac:dyDescent="0.2">
      <c r="A93" s="12" t="s">
        <v>323</v>
      </c>
      <c r="B93" s="13" t="s">
        <v>318</v>
      </c>
      <c r="C93" s="13" t="s">
        <v>324</v>
      </c>
      <c r="D93" s="13" t="s">
        <v>325</v>
      </c>
      <c r="E93" s="13" t="s">
        <v>326</v>
      </c>
      <c r="F93" s="13" t="s">
        <v>327</v>
      </c>
      <c r="G93" s="14">
        <v>8</v>
      </c>
    </row>
    <row r="94" spans="1:7" ht="28" x14ac:dyDescent="0.2">
      <c r="A94" s="9" t="s">
        <v>328</v>
      </c>
      <c r="B94" s="10" t="s">
        <v>318</v>
      </c>
      <c r="C94" s="10" t="s">
        <v>329</v>
      </c>
      <c r="D94" s="10" t="s">
        <v>330</v>
      </c>
      <c r="E94" s="10" t="s">
        <v>331</v>
      </c>
      <c r="F94" s="10" t="s">
        <v>327</v>
      </c>
      <c r="G94" s="11">
        <v>8</v>
      </c>
    </row>
    <row r="95" spans="1:7" ht="28" x14ac:dyDescent="0.2">
      <c r="A95" s="12" t="s">
        <v>332</v>
      </c>
      <c r="B95" s="13" t="s">
        <v>318</v>
      </c>
      <c r="C95" s="13" t="s">
        <v>333</v>
      </c>
      <c r="D95" s="13" t="s">
        <v>334</v>
      </c>
      <c r="E95" s="13" t="s">
        <v>335</v>
      </c>
      <c r="F95" s="13" t="s">
        <v>327</v>
      </c>
      <c r="G95" s="14">
        <v>8</v>
      </c>
    </row>
    <row r="96" spans="1:7" ht="28" x14ac:dyDescent="0.2">
      <c r="A96" s="9" t="s">
        <v>336</v>
      </c>
      <c r="B96" s="10" t="s">
        <v>318</v>
      </c>
      <c r="C96" s="10" t="s">
        <v>337</v>
      </c>
      <c r="D96" s="10" t="s">
        <v>338</v>
      </c>
      <c r="E96" s="10" t="s">
        <v>339</v>
      </c>
      <c r="F96" s="10" t="s">
        <v>327</v>
      </c>
      <c r="G96" s="11">
        <v>8</v>
      </c>
    </row>
    <row r="97" spans="1:7" ht="28" x14ac:dyDescent="0.2">
      <c r="A97" s="12" t="s">
        <v>340</v>
      </c>
      <c r="B97" s="13" t="s">
        <v>318</v>
      </c>
      <c r="C97" s="13" t="s">
        <v>341</v>
      </c>
      <c r="D97" s="13" t="s">
        <v>342</v>
      </c>
      <c r="E97" s="13" t="s">
        <v>21</v>
      </c>
      <c r="F97" s="13" t="s">
        <v>343</v>
      </c>
      <c r="G97" s="14">
        <v>8</v>
      </c>
    </row>
    <row r="98" spans="1:7" ht="28" x14ac:dyDescent="0.2">
      <c r="A98" s="9" t="s">
        <v>344</v>
      </c>
      <c r="B98" s="10" t="s">
        <v>318</v>
      </c>
      <c r="C98" s="10" t="s">
        <v>345</v>
      </c>
      <c r="D98" s="10" t="s">
        <v>346</v>
      </c>
      <c r="E98" s="10" t="s">
        <v>347</v>
      </c>
      <c r="F98" s="10" t="s">
        <v>348</v>
      </c>
      <c r="G98" s="11">
        <v>8</v>
      </c>
    </row>
    <row r="99" spans="1:7" ht="28" x14ac:dyDescent="0.2">
      <c r="A99" s="12" t="s">
        <v>349</v>
      </c>
      <c r="B99" s="13" t="s">
        <v>318</v>
      </c>
      <c r="C99" s="13" t="s">
        <v>350</v>
      </c>
      <c r="D99" s="13" t="s">
        <v>351</v>
      </c>
      <c r="E99" s="13" t="s">
        <v>352</v>
      </c>
      <c r="F99" s="13" t="s">
        <v>353</v>
      </c>
      <c r="G99" s="14">
        <v>8</v>
      </c>
    </row>
    <row r="101" spans="1:7" x14ac:dyDescent="0.2">
      <c r="A101" s="7" t="s">
        <v>354</v>
      </c>
      <c r="B101" s="7"/>
      <c r="C101" s="7"/>
      <c r="D101" s="7"/>
      <c r="E101" s="7"/>
      <c r="F101" s="7"/>
      <c r="G101" s="7"/>
    </row>
    <row r="102" spans="1:7" ht="42" x14ac:dyDescent="0.2">
      <c r="A102" s="9" t="s">
        <v>355</v>
      </c>
      <c r="B102" s="10" t="s">
        <v>356</v>
      </c>
      <c r="C102" s="10" t="s">
        <v>357</v>
      </c>
      <c r="D102" s="10" t="s">
        <v>358</v>
      </c>
      <c r="E102" s="10" t="s">
        <v>359</v>
      </c>
      <c r="F102" s="10" t="s">
        <v>360</v>
      </c>
      <c r="G102" s="11">
        <v>8</v>
      </c>
    </row>
    <row r="103" spans="1:7" ht="28" x14ac:dyDescent="0.2">
      <c r="A103" s="12" t="s">
        <v>361</v>
      </c>
      <c r="B103" s="13" t="s">
        <v>356</v>
      </c>
      <c r="C103" s="13" t="s">
        <v>362</v>
      </c>
      <c r="D103" s="13" t="s">
        <v>363</v>
      </c>
      <c r="E103" s="13" t="s">
        <v>364</v>
      </c>
      <c r="F103" s="13" t="s">
        <v>365</v>
      </c>
      <c r="G103" s="14">
        <v>8</v>
      </c>
    </row>
    <row r="104" spans="1:7" ht="28" x14ac:dyDescent="0.2">
      <c r="A104" s="9" t="s">
        <v>366</v>
      </c>
      <c r="B104" s="10" t="s">
        <v>356</v>
      </c>
      <c r="C104" s="10" t="s">
        <v>367</v>
      </c>
      <c r="D104" s="10" t="s">
        <v>368</v>
      </c>
      <c r="E104" s="10" t="s">
        <v>26</v>
      </c>
      <c r="F104" s="10" t="s">
        <v>369</v>
      </c>
      <c r="G104" s="11">
        <v>8</v>
      </c>
    </row>
    <row r="105" spans="1:7" ht="28" x14ac:dyDescent="0.2">
      <c r="A105" s="12" t="s">
        <v>370</v>
      </c>
      <c r="B105" s="13" t="s">
        <v>356</v>
      </c>
      <c r="C105" s="13" t="s">
        <v>204</v>
      </c>
      <c r="D105" s="13" t="s">
        <v>371</v>
      </c>
      <c r="E105" s="13" t="s">
        <v>35</v>
      </c>
      <c r="F105" s="13" t="s">
        <v>372</v>
      </c>
      <c r="G105" s="14">
        <v>8</v>
      </c>
    </row>
    <row r="106" spans="1:7" ht="28" x14ac:dyDescent="0.2">
      <c r="A106" s="9" t="s">
        <v>373</v>
      </c>
      <c r="B106" s="10" t="s">
        <v>356</v>
      </c>
      <c r="C106" s="10" t="s">
        <v>374</v>
      </c>
      <c r="D106" s="10" t="s">
        <v>375</v>
      </c>
      <c r="E106" s="10" t="s">
        <v>376</v>
      </c>
      <c r="F106" s="10" t="s">
        <v>377</v>
      </c>
      <c r="G106" s="11">
        <v>8</v>
      </c>
    </row>
    <row r="107" spans="1:7" ht="28" x14ac:dyDescent="0.2">
      <c r="A107" s="12" t="s">
        <v>378</v>
      </c>
      <c r="B107" s="13" t="s">
        <v>356</v>
      </c>
      <c r="C107" s="13" t="s">
        <v>379</v>
      </c>
      <c r="D107" s="13" t="s">
        <v>380</v>
      </c>
      <c r="E107" s="13" t="s">
        <v>381</v>
      </c>
      <c r="F107" s="13" t="s">
        <v>369</v>
      </c>
      <c r="G107" s="14">
        <v>8</v>
      </c>
    </row>
    <row r="108" spans="1:7" ht="42" x14ac:dyDescent="0.2">
      <c r="A108" s="9" t="s">
        <v>382</v>
      </c>
      <c r="B108" s="10" t="s">
        <v>356</v>
      </c>
      <c r="C108" s="10" t="s">
        <v>383</v>
      </c>
      <c r="D108" s="10" t="s">
        <v>384</v>
      </c>
      <c r="E108" s="10" t="s">
        <v>385</v>
      </c>
      <c r="F108" s="10" t="s">
        <v>360</v>
      </c>
      <c r="G108" s="11">
        <v>8</v>
      </c>
    </row>
    <row r="109" spans="1:7" ht="28" x14ac:dyDescent="0.2">
      <c r="A109" s="12" t="s">
        <v>386</v>
      </c>
      <c r="B109" s="13" t="s">
        <v>356</v>
      </c>
      <c r="C109" s="13" t="s">
        <v>387</v>
      </c>
      <c r="D109" s="13" t="s">
        <v>388</v>
      </c>
      <c r="E109" s="13" t="s">
        <v>35</v>
      </c>
      <c r="F109" s="13" t="s">
        <v>389</v>
      </c>
      <c r="G109" s="14">
        <v>8</v>
      </c>
    </row>
    <row r="111" spans="1:7" x14ac:dyDescent="0.2">
      <c r="A111" s="7" t="s">
        <v>390</v>
      </c>
      <c r="B111" s="7"/>
      <c r="C111" s="7"/>
      <c r="D111" s="7"/>
      <c r="E111" s="7"/>
      <c r="F111" s="7"/>
      <c r="G111" s="7"/>
    </row>
    <row r="112" spans="1:7" ht="42" x14ac:dyDescent="0.2">
      <c r="A112" s="9" t="s">
        <v>391</v>
      </c>
      <c r="B112" s="10" t="s">
        <v>392</v>
      </c>
      <c r="C112" s="10" t="s">
        <v>393</v>
      </c>
      <c r="D112" s="10" t="s">
        <v>394</v>
      </c>
      <c r="E112" s="10" t="s">
        <v>395</v>
      </c>
      <c r="F112" s="10" t="s">
        <v>396</v>
      </c>
      <c r="G112" s="11">
        <v>9</v>
      </c>
    </row>
    <row r="113" spans="1:7" ht="28" x14ac:dyDescent="0.2">
      <c r="A113" s="12" t="s">
        <v>397</v>
      </c>
      <c r="B113" s="13" t="s">
        <v>392</v>
      </c>
      <c r="C113" s="13" t="s">
        <v>398</v>
      </c>
      <c r="D113" s="13" t="s">
        <v>399</v>
      </c>
      <c r="E113" s="13" t="s">
        <v>26</v>
      </c>
      <c r="F113" s="13" t="s">
        <v>396</v>
      </c>
      <c r="G113" s="14">
        <v>9</v>
      </c>
    </row>
    <row r="114" spans="1:7" ht="28" x14ac:dyDescent="0.2">
      <c r="A114" s="9" t="s">
        <v>400</v>
      </c>
      <c r="B114" s="10" t="s">
        <v>392</v>
      </c>
      <c r="C114" s="10" t="s">
        <v>401</v>
      </c>
      <c r="D114" s="10" t="s">
        <v>402</v>
      </c>
      <c r="E114" s="10" t="s">
        <v>403</v>
      </c>
      <c r="F114" s="10" t="s">
        <v>404</v>
      </c>
      <c r="G114" s="11">
        <v>9</v>
      </c>
    </row>
    <row r="115" spans="1:7" ht="28" x14ac:dyDescent="0.2">
      <c r="A115" s="12" t="s">
        <v>405</v>
      </c>
      <c r="B115" s="13" t="s">
        <v>392</v>
      </c>
      <c r="C115" s="13" t="s">
        <v>406</v>
      </c>
      <c r="D115" s="13" t="s">
        <v>407</v>
      </c>
      <c r="E115" s="13" t="s">
        <v>408</v>
      </c>
      <c r="F115" s="13" t="s">
        <v>409</v>
      </c>
      <c r="G115" s="14">
        <v>9</v>
      </c>
    </row>
    <row r="116" spans="1:7" ht="28" x14ac:dyDescent="0.2">
      <c r="A116" s="9" t="s">
        <v>410</v>
      </c>
      <c r="B116" s="10" t="s">
        <v>392</v>
      </c>
      <c r="C116" s="10" t="s">
        <v>411</v>
      </c>
      <c r="D116" s="10" t="s">
        <v>412</v>
      </c>
      <c r="E116" s="10" t="s">
        <v>408</v>
      </c>
      <c r="F116" s="10" t="s">
        <v>396</v>
      </c>
      <c r="G116" s="11">
        <v>9</v>
      </c>
    </row>
    <row r="117" spans="1:7" ht="28" x14ac:dyDescent="0.2">
      <c r="A117" s="12" t="s">
        <v>413</v>
      </c>
      <c r="B117" s="13" t="s">
        <v>392</v>
      </c>
      <c r="C117" s="13" t="s">
        <v>414</v>
      </c>
      <c r="D117" s="13" t="s">
        <v>415</v>
      </c>
      <c r="E117" s="13" t="s">
        <v>35</v>
      </c>
      <c r="F117" s="13" t="s">
        <v>416</v>
      </c>
      <c r="G117" s="14">
        <v>9</v>
      </c>
    </row>
    <row r="118" spans="1:7" ht="28" x14ac:dyDescent="0.2">
      <c r="A118" s="9" t="s">
        <v>417</v>
      </c>
      <c r="B118" s="10" t="s">
        <v>392</v>
      </c>
      <c r="C118" s="10" t="s">
        <v>418</v>
      </c>
      <c r="D118" s="10" t="s">
        <v>419</v>
      </c>
      <c r="E118" s="10" t="s">
        <v>420</v>
      </c>
      <c r="F118" s="10" t="s">
        <v>421</v>
      </c>
      <c r="G118" s="11">
        <v>9</v>
      </c>
    </row>
    <row r="119" spans="1:7" ht="42" x14ac:dyDescent="0.2">
      <c r="A119" s="12" t="s">
        <v>422</v>
      </c>
      <c r="B119" s="13" t="s">
        <v>392</v>
      </c>
      <c r="C119" s="13" t="s">
        <v>423</v>
      </c>
      <c r="D119" s="13" t="s">
        <v>424</v>
      </c>
      <c r="E119" s="13" t="s">
        <v>35</v>
      </c>
      <c r="F119" s="13" t="s">
        <v>425</v>
      </c>
      <c r="G119" s="14">
        <v>9</v>
      </c>
    </row>
    <row r="120" spans="1:7" ht="42" x14ac:dyDescent="0.2">
      <c r="A120" s="9" t="s">
        <v>426</v>
      </c>
      <c r="B120" s="10" t="s">
        <v>392</v>
      </c>
      <c r="C120" s="10" t="s">
        <v>427</v>
      </c>
      <c r="D120" s="10" t="s">
        <v>428</v>
      </c>
      <c r="E120" s="10" t="s">
        <v>429</v>
      </c>
      <c r="F120" s="10" t="s">
        <v>396</v>
      </c>
      <c r="G120" s="11">
        <v>9</v>
      </c>
    </row>
    <row r="122" spans="1:7" x14ac:dyDescent="0.2">
      <c r="A122" s="7" t="s">
        <v>430</v>
      </c>
      <c r="B122" s="7"/>
      <c r="C122" s="7"/>
      <c r="D122" s="7"/>
      <c r="E122" s="7"/>
      <c r="F122" s="7"/>
      <c r="G122" s="7"/>
    </row>
    <row r="123" spans="1:7" ht="28" x14ac:dyDescent="0.2">
      <c r="A123" s="9" t="s">
        <v>431</v>
      </c>
      <c r="B123" s="10" t="s">
        <v>432</v>
      </c>
      <c r="C123" s="10" t="s">
        <v>433</v>
      </c>
      <c r="D123" s="10" t="s">
        <v>434</v>
      </c>
      <c r="E123" s="10" t="s">
        <v>435</v>
      </c>
      <c r="F123" s="10" t="s">
        <v>436</v>
      </c>
      <c r="G123" s="11">
        <v>7</v>
      </c>
    </row>
    <row r="124" spans="1:7" ht="28" x14ac:dyDescent="0.2">
      <c r="A124" s="12" t="s">
        <v>437</v>
      </c>
      <c r="B124" s="13" t="s">
        <v>432</v>
      </c>
      <c r="C124" s="13" t="s">
        <v>438</v>
      </c>
      <c r="D124" s="13" t="s">
        <v>439</v>
      </c>
      <c r="E124" s="13" t="s">
        <v>440</v>
      </c>
      <c r="F124" s="13" t="s">
        <v>436</v>
      </c>
      <c r="G124" s="14">
        <v>7</v>
      </c>
    </row>
    <row r="125" spans="1:7" ht="28" x14ac:dyDescent="0.2">
      <c r="A125" s="9" t="s">
        <v>441</v>
      </c>
      <c r="B125" s="10" t="s">
        <v>432</v>
      </c>
      <c r="C125" s="10" t="s">
        <v>442</v>
      </c>
      <c r="D125" s="10" t="s">
        <v>443</v>
      </c>
      <c r="E125" s="10" t="s">
        <v>444</v>
      </c>
      <c r="F125" s="10" t="s">
        <v>436</v>
      </c>
      <c r="G125" s="11">
        <v>7</v>
      </c>
    </row>
    <row r="126" spans="1:7" ht="42" x14ac:dyDescent="0.2">
      <c r="A126" s="12" t="s">
        <v>445</v>
      </c>
      <c r="B126" s="13" t="s">
        <v>432</v>
      </c>
      <c r="C126" s="13" t="s">
        <v>446</v>
      </c>
      <c r="D126" s="13" t="s">
        <v>447</v>
      </c>
      <c r="E126" s="13" t="s">
        <v>164</v>
      </c>
      <c r="F126" s="13" t="s">
        <v>448</v>
      </c>
      <c r="G126" s="14">
        <v>7</v>
      </c>
    </row>
    <row r="127" spans="1:7" ht="42" x14ac:dyDescent="0.2">
      <c r="A127" s="9" t="s">
        <v>449</v>
      </c>
      <c r="B127" s="10" t="s">
        <v>432</v>
      </c>
      <c r="C127" s="10" t="s">
        <v>450</v>
      </c>
      <c r="D127" s="10" t="s">
        <v>451</v>
      </c>
      <c r="E127" s="10" t="s">
        <v>35</v>
      </c>
      <c r="F127" s="10" t="s">
        <v>452</v>
      </c>
      <c r="G127" s="11">
        <v>7</v>
      </c>
    </row>
    <row r="128" spans="1:7" ht="42" x14ac:dyDescent="0.2">
      <c r="A128" s="12" t="s">
        <v>453</v>
      </c>
      <c r="B128" s="13" t="s">
        <v>432</v>
      </c>
      <c r="C128" s="13" t="s">
        <v>454</v>
      </c>
      <c r="D128" s="13" t="s">
        <v>455</v>
      </c>
      <c r="E128" s="13" t="s">
        <v>35</v>
      </c>
      <c r="F128" s="13" t="s">
        <v>436</v>
      </c>
      <c r="G128" s="14">
        <v>7</v>
      </c>
    </row>
    <row r="129" spans="1:7" ht="42" x14ac:dyDescent="0.2">
      <c r="A129" s="9" t="s">
        <v>456</v>
      </c>
      <c r="B129" s="10" t="s">
        <v>432</v>
      </c>
      <c r="C129" s="10" t="s">
        <v>457</v>
      </c>
      <c r="D129" s="10" t="s">
        <v>458</v>
      </c>
      <c r="E129" s="10" t="s">
        <v>35</v>
      </c>
      <c r="F129" s="10" t="s">
        <v>436</v>
      </c>
      <c r="G129" s="11">
        <v>7</v>
      </c>
    </row>
    <row r="131" spans="1:7" x14ac:dyDescent="0.2">
      <c r="A131" s="7" t="s">
        <v>459</v>
      </c>
      <c r="B131" s="7"/>
      <c r="C131" s="7"/>
      <c r="D131" s="7"/>
      <c r="E131" s="7"/>
      <c r="F131" s="7"/>
      <c r="G131" s="7"/>
    </row>
    <row r="132" spans="1:7" ht="28" x14ac:dyDescent="0.2">
      <c r="A132" s="9" t="s">
        <v>460</v>
      </c>
      <c r="B132" s="10" t="s">
        <v>461</v>
      </c>
      <c r="C132" s="10" t="s">
        <v>462</v>
      </c>
      <c r="D132" s="10" t="s">
        <v>463</v>
      </c>
      <c r="E132" s="10" t="s">
        <v>464</v>
      </c>
      <c r="F132" s="10" t="s">
        <v>465</v>
      </c>
      <c r="G132" s="11">
        <v>7</v>
      </c>
    </row>
    <row r="133" spans="1:7" ht="28" x14ac:dyDescent="0.2">
      <c r="A133" s="12" t="s">
        <v>466</v>
      </c>
      <c r="B133" s="13" t="s">
        <v>461</v>
      </c>
      <c r="C133" s="13" t="s">
        <v>467</v>
      </c>
      <c r="D133" s="13" t="s">
        <v>468</v>
      </c>
      <c r="E133" s="13" t="s">
        <v>469</v>
      </c>
      <c r="F133" s="13" t="s">
        <v>470</v>
      </c>
      <c r="G133" s="14">
        <v>7</v>
      </c>
    </row>
    <row r="134" spans="1:7" ht="28" x14ac:dyDescent="0.2">
      <c r="A134" s="9" t="s">
        <v>471</v>
      </c>
      <c r="B134" s="10" t="s">
        <v>461</v>
      </c>
      <c r="C134" s="10" t="s">
        <v>472</v>
      </c>
      <c r="D134" s="10" t="s">
        <v>473</v>
      </c>
      <c r="E134" s="10" t="s">
        <v>408</v>
      </c>
      <c r="F134" s="10" t="s">
        <v>465</v>
      </c>
      <c r="G134" s="11">
        <v>7</v>
      </c>
    </row>
    <row r="135" spans="1:7" ht="28" x14ac:dyDescent="0.2">
      <c r="A135" s="12" t="s">
        <v>474</v>
      </c>
      <c r="B135" s="13" t="s">
        <v>461</v>
      </c>
      <c r="C135" s="13" t="s">
        <v>475</v>
      </c>
      <c r="D135" s="13" t="s">
        <v>476</v>
      </c>
      <c r="E135" s="13" t="s">
        <v>164</v>
      </c>
      <c r="F135" s="13" t="s">
        <v>465</v>
      </c>
      <c r="G135" s="14">
        <v>7</v>
      </c>
    </row>
    <row r="136" spans="1:7" ht="42" x14ac:dyDescent="0.2">
      <c r="A136" s="9" t="s">
        <v>477</v>
      </c>
      <c r="B136" s="10" t="s">
        <v>461</v>
      </c>
      <c r="C136" s="10" t="s">
        <v>478</v>
      </c>
      <c r="D136" s="10" t="s">
        <v>479</v>
      </c>
      <c r="E136" s="10" t="s">
        <v>35</v>
      </c>
      <c r="F136" s="10" t="s">
        <v>480</v>
      </c>
      <c r="G136" s="11">
        <v>7</v>
      </c>
    </row>
    <row r="137" spans="1:7" ht="42" x14ac:dyDescent="0.2">
      <c r="A137" s="12" t="s">
        <v>481</v>
      </c>
      <c r="B137" s="13" t="s">
        <v>461</v>
      </c>
      <c r="C137" s="13" t="s">
        <v>482</v>
      </c>
      <c r="D137" s="13" t="s">
        <v>483</v>
      </c>
      <c r="E137" s="13" t="s">
        <v>35</v>
      </c>
      <c r="F137" s="13" t="s">
        <v>484</v>
      </c>
      <c r="G137" s="14">
        <v>7</v>
      </c>
    </row>
    <row r="138" spans="1:7" ht="28" x14ac:dyDescent="0.2">
      <c r="A138" s="9" t="s">
        <v>485</v>
      </c>
      <c r="B138" s="10" t="s">
        <v>461</v>
      </c>
      <c r="C138" s="10" t="s">
        <v>486</v>
      </c>
      <c r="D138" s="10" t="s">
        <v>487</v>
      </c>
      <c r="E138" s="10" t="s">
        <v>35</v>
      </c>
      <c r="F138" s="10" t="s">
        <v>488</v>
      </c>
      <c r="G138" s="11">
        <v>7</v>
      </c>
    </row>
    <row r="140" spans="1:7" x14ac:dyDescent="0.2">
      <c r="A140" s="7" t="s">
        <v>489</v>
      </c>
      <c r="B140" s="7"/>
      <c r="C140" s="7"/>
      <c r="D140" s="7"/>
      <c r="E140" s="7"/>
      <c r="F140" s="7"/>
      <c r="G140" s="7"/>
    </row>
    <row r="141" spans="1:7" ht="28" x14ac:dyDescent="0.2">
      <c r="A141" s="9" t="s">
        <v>490</v>
      </c>
      <c r="B141" s="10" t="s">
        <v>491</v>
      </c>
      <c r="C141" s="10" t="s">
        <v>492</v>
      </c>
      <c r="D141" s="10" t="s">
        <v>493</v>
      </c>
      <c r="E141" s="10" t="s">
        <v>213</v>
      </c>
      <c r="F141" s="10" t="s">
        <v>494</v>
      </c>
      <c r="G141" s="11">
        <v>8</v>
      </c>
    </row>
    <row r="142" spans="1:7" ht="28" x14ac:dyDescent="0.2">
      <c r="A142" s="12" t="s">
        <v>495</v>
      </c>
      <c r="B142" s="13" t="s">
        <v>491</v>
      </c>
      <c r="C142" s="13" t="s">
        <v>496</v>
      </c>
      <c r="D142" s="13" t="s">
        <v>497</v>
      </c>
      <c r="E142" s="13" t="s">
        <v>26</v>
      </c>
      <c r="F142" s="13" t="s">
        <v>498</v>
      </c>
      <c r="G142" s="14">
        <v>8</v>
      </c>
    </row>
    <row r="143" spans="1:7" ht="28" x14ac:dyDescent="0.2">
      <c r="A143" s="9" t="s">
        <v>499</v>
      </c>
      <c r="B143" s="10" t="s">
        <v>491</v>
      </c>
      <c r="C143" s="10" t="s">
        <v>500</v>
      </c>
      <c r="D143" s="10" t="s">
        <v>501</v>
      </c>
      <c r="E143" s="10" t="s">
        <v>502</v>
      </c>
      <c r="F143" s="10" t="s">
        <v>498</v>
      </c>
      <c r="G143" s="11">
        <v>8</v>
      </c>
    </row>
    <row r="144" spans="1:7" ht="42" x14ac:dyDescent="0.2">
      <c r="A144" s="12" t="s">
        <v>503</v>
      </c>
      <c r="B144" s="13" t="s">
        <v>491</v>
      </c>
      <c r="C144" s="13" t="s">
        <v>504</v>
      </c>
      <c r="D144" s="13" t="s">
        <v>505</v>
      </c>
      <c r="E144" s="13" t="s">
        <v>26</v>
      </c>
      <c r="F144" s="13" t="s">
        <v>506</v>
      </c>
      <c r="G144" s="14">
        <v>8</v>
      </c>
    </row>
    <row r="145" spans="1:7" ht="28" x14ac:dyDescent="0.2">
      <c r="A145" s="9" t="s">
        <v>507</v>
      </c>
      <c r="B145" s="10" t="s">
        <v>491</v>
      </c>
      <c r="C145" s="10" t="s">
        <v>508</v>
      </c>
      <c r="D145" s="10" t="s">
        <v>509</v>
      </c>
      <c r="E145" s="10" t="s">
        <v>510</v>
      </c>
      <c r="F145" s="10" t="s">
        <v>511</v>
      </c>
      <c r="G145" s="11">
        <v>8</v>
      </c>
    </row>
    <row r="146" spans="1:7" ht="28" x14ac:dyDescent="0.2">
      <c r="A146" s="12" t="s">
        <v>512</v>
      </c>
      <c r="B146" s="13" t="s">
        <v>491</v>
      </c>
      <c r="C146" s="13" t="s">
        <v>513</v>
      </c>
      <c r="D146" s="13" t="s">
        <v>514</v>
      </c>
      <c r="E146" s="13" t="s">
        <v>26</v>
      </c>
      <c r="F146" s="13" t="s">
        <v>48</v>
      </c>
      <c r="G146" s="14">
        <v>8</v>
      </c>
    </row>
    <row r="147" spans="1:7" ht="28" x14ac:dyDescent="0.2">
      <c r="A147" s="9" t="s">
        <v>515</v>
      </c>
      <c r="B147" s="10" t="s">
        <v>491</v>
      </c>
      <c r="C147" s="10" t="s">
        <v>516</v>
      </c>
      <c r="D147" s="10" t="s">
        <v>517</v>
      </c>
      <c r="E147" s="10" t="s">
        <v>35</v>
      </c>
      <c r="F147" s="10" t="s">
        <v>518</v>
      </c>
      <c r="G147" s="11">
        <v>8</v>
      </c>
    </row>
    <row r="148" spans="1:7" ht="28" x14ac:dyDescent="0.2">
      <c r="A148" s="12" t="s">
        <v>519</v>
      </c>
      <c r="B148" s="13" t="s">
        <v>491</v>
      </c>
      <c r="C148" s="13" t="s">
        <v>520</v>
      </c>
      <c r="D148" s="13" t="s">
        <v>521</v>
      </c>
      <c r="E148" s="13" t="s">
        <v>26</v>
      </c>
      <c r="F148" s="13" t="s">
        <v>498</v>
      </c>
      <c r="G148" s="14">
        <v>8</v>
      </c>
    </row>
  </sheetData>
  <autoFilter ref="A1:G1" xr:uid="{00000000-0009-0000-0000-000000000000}"/>
  <mergeCells count="15">
    <mergeCell ref="A101:G101"/>
    <mergeCell ref="A111:G111"/>
    <mergeCell ref="A122:G122"/>
    <mergeCell ref="A131:G131"/>
    <mergeCell ref="A140:G140"/>
    <mergeCell ref="A52:G52"/>
    <mergeCell ref="A60:G60"/>
    <mergeCell ref="A69:G69"/>
    <mergeCell ref="A79:G79"/>
    <mergeCell ref="A91:G91"/>
    <mergeCell ref="A2:G2"/>
    <mergeCell ref="A13:G13"/>
    <mergeCell ref="A23:G23"/>
    <mergeCell ref="A34:G34"/>
    <mergeCell ref="A43:G4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F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5" customWidth="1"/>
    <col min="2" max="2" width="38" customWidth="1"/>
    <col min="3" max="3" width="14" customWidth="1"/>
    <col min="4" max="4" width="12" customWidth="1"/>
    <col min="5" max="5" width="38" customWidth="1"/>
    <col min="6" max="6" width="48" customWidth="1"/>
  </cols>
  <sheetData>
    <row r="1" spans="1:6" x14ac:dyDescent="0.2">
      <c r="A1" s="8" t="s">
        <v>522</v>
      </c>
      <c r="B1" s="8" t="s">
        <v>523</v>
      </c>
      <c r="C1" s="8" t="s">
        <v>524</v>
      </c>
      <c r="D1" s="8" t="s">
        <v>6</v>
      </c>
      <c r="E1" s="8" t="s">
        <v>525</v>
      </c>
      <c r="F1" s="8" t="s">
        <v>526</v>
      </c>
    </row>
    <row r="2" spans="1:6" ht="28" x14ac:dyDescent="0.2">
      <c r="A2" s="11">
        <v>16</v>
      </c>
      <c r="B2" s="11" t="s">
        <v>9</v>
      </c>
      <c r="C2" s="10" t="s">
        <v>527</v>
      </c>
      <c r="D2" s="10">
        <v>9</v>
      </c>
      <c r="E2" s="10" t="s">
        <v>528</v>
      </c>
      <c r="F2" s="10" t="s">
        <v>529</v>
      </c>
    </row>
    <row r="3" spans="1:6" ht="28" x14ac:dyDescent="0.2">
      <c r="A3" s="14">
        <v>17</v>
      </c>
      <c r="B3" s="14" t="s">
        <v>51</v>
      </c>
      <c r="C3" s="13" t="s">
        <v>530</v>
      </c>
      <c r="D3" s="13">
        <v>8</v>
      </c>
      <c r="E3" s="13" t="s">
        <v>531</v>
      </c>
      <c r="F3" s="13" t="s">
        <v>532</v>
      </c>
    </row>
    <row r="4" spans="1:6" ht="28" x14ac:dyDescent="0.2">
      <c r="A4" s="11">
        <v>18</v>
      </c>
      <c r="B4" s="11" t="s">
        <v>87</v>
      </c>
      <c r="C4" s="10" t="s">
        <v>533</v>
      </c>
      <c r="D4" s="10">
        <v>9</v>
      </c>
      <c r="E4" s="10" t="s">
        <v>534</v>
      </c>
      <c r="F4" s="10" t="s">
        <v>535</v>
      </c>
    </row>
    <row r="5" spans="1:6" ht="28" x14ac:dyDescent="0.2">
      <c r="A5" s="14">
        <v>19</v>
      </c>
      <c r="B5" s="14" t="s">
        <v>126</v>
      </c>
      <c r="C5" s="13" t="s">
        <v>536</v>
      </c>
      <c r="D5" s="13">
        <v>7</v>
      </c>
      <c r="E5" s="13" t="s">
        <v>537</v>
      </c>
      <c r="F5" s="13" t="s">
        <v>538</v>
      </c>
    </row>
    <row r="6" spans="1:6" ht="28" x14ac:dyDescent="0.2">
      <c r="A6" s="11">
        <v>20</v>
      </c>
      <c r="B6" s="11" t="s">
        <v>157</v>
      </c>
      <c r="C6" s="10" t="s">
        <v>539</v>
      </c>
      <c r="D6" s="10">
        <v>7</v>
      </c>
      <c r="E6" s="10" t="s">
        <v>540</v>
      </c>
      <c r="F6" s="10" t="s">
        <v>541</v>
      </c>
    </row>
    <row r="7" spans="1:6" ht="28" x14ac:dyDescent="0.2">
      <c r="A7" s="14">
        <v>21</v>
      </c>
      <c r="B7" s="14" t="s">
        <v>187</v>
      </c>
      <c r="C7" s="13" t="s">
        <v>542</v>
      </c>
      <c r="D7" s="13">
        <v>6</v>
      </c>
      <c r="E7" s="13" t="s">
        <v>543</v>
      </c>
      <c r="F7" s="13" t="s">
        <v>544</v>
      </c>
    </row>
    <row r="8" spans="1:6" ht="28" x14ac:dyDescent="0.2">
      <c r="A8" s="11">
        <v>22</v>
      </c>
      <c r="B8" s="11" t="s">
        <v>210</v>
      </c>
      <c r="C8" s="10" t="s">
        <v>545</v>
      </c>
      <c r="D8" s="10">
        <v>7</v>
      </c>
      <c r="E8" s="10" t="s">
        <v>546</v>
      </c>
      <c r="F8" s="10" t="s">
        <v>547</v>
      </c>
    </row>
    <row r="9" spans="1:6" ht="28" x14ac:dyDescent="0.2">
      <c r="A9" s="14">
        <v>23</v>
      </c>
      <c r="B9" s="14" t="s">
        <v>240</v>
      </c>
      <c r="C9" s="13" t="s">
        <v>548</v>
      </c>
      <c r="D9" s="13">
        <v>8</v>
      </c>
      <c r="E9" s="13" t="s">
        <v>549</v>
      </c>
      <c r="F9" s="13" t="s">
        <v>550</v>
      </c>
    </row>
    <row r="10" spans="1:6" ht="28" x14ac:dyDescent="0.2">
      <c r="A10" s="11">
        <v>24</v>
      </c>
      <c r="B10" s="11" t="s">
        <v>275</v>
      </c>
      <c r="C10" s="10" t="s">
        <v>551</v>
      </c>
      <c r="D10" s="10">
        <v>10</v>
      </c>
      <c r="E10" s="10" t="s">
        <v>552</v>
      </c>
      <c r="F10" s="10" t="s">
        <v>553</v>
      </c>
    </row>
    <row r="11" spans="1:6" ht="28" x14ac:dyDescent="0.2">
      <c r="A11" s="14">
        <v>25</v>
      </c>
      <c r="B11" s="14" t="s">
        <v>318</v>
      </c>
      <c r="C11" s="13" t="s">
        <v>554</v>
      </c>
      <c r="D11" s="13">
        <v>8</v>
      </c>
      <c r="E11" s="13" t="s">
        <v>555</v>
      </c>
      <c r="F11" s="13" t="s">
        <v>556</v>
      </c>
    </row>
    <row r="12" spans="1:6" ht="28" x14ac:dyDescent="0.2">
      <c r="A12" s="11">
        <v>26</v>
      </c>
      <c r="B12" s="11" t="s">
        <v>356</v>
      </c>
      <c r="C12" s="10" t="s">
        <v>557</v>
      </c>
      <c r="D12" s="10">
        <v>8</v>
      </c>
      <c r="E12" s="10" t="s">
        <v>558</v>
      </c>
      <c r="F12" s="10" t="s">
        <v>559</v>
      </c>
    </row>
    <row r="13" spans="1:6" ht="28" x14ac:dyDescent="0.2">
      <c r="A13" s="14">
        <v>27</v>
      </c>
      <c r="B13" s="14" t="s">
        <v>392</v>
      </c>
      <c r="C13" s="13" t="s">
        <v>560</v>
      </c>
      <c r="D13" s="13">
        <v>9</v>
      </c>
      <c r="E13" s="13" t="s">
        <v>561</v>
      </c>
      <c r="F13" s="13" t="s">
        <v>562</v>
      </c>
    </row>
    <row r="14" spans="1:6" ht="28" x14ac:dyDescent="0.2">
      <c r="A14" s="11">
        <v>28</v>
      </c>
      <c r="B14" s="11" t="s">
        <v>432</v>
      </c>
      <c r="C14" s="10" t="s">
        <v>563</v>
      </c>
      <c r="D14" s="10">
        <v>7</v>
      </c>
      <c r="E14" s="10" t="s">
        <v>564</v>
      </c>
      <c r="F14" s="10" t="s">
        <v>565</v>
      </c>
    </row>
    <row r="15" spans="1:6" ht="28" x14ac:dyDescent="0.2">
      <c r="A15" s="14">
        <v>29</v>
      </c>
      <c r="B15" s="14" t="s">
        <v>461</v>
      </c>
      <c r="C15" s="13" t="s">
        <v>566</v>
      </c>
      <c r="D15" s="13">
        <v>7</v>
      </c>
      <c r="E15" s="13" t="s">
        <v>567</v>
      </c>
      <c r="F15" s="13" t="s">
        <v>568</v>
      </c>
    </row>
    <row r="16" spans="1:6" ht="28" x14ac:dyDescent="0.2">
      <c r="A16" s="11">
        <v>30</v>
      </c>
      <c r="B16" s="11" t="s">
        <v>491</v>
      </c>
      <c r="C16" s="10" t="s">
        <v>569</v>
      </c>
      <c r="D16" s="10">
        <v>8</v>
      </c>
      <c r="E16" s="10" t="s">
        <v>570</v>
      </c>
      <c r="F16" s="10" t="s">
        <v>571</v>
      </c>
    </row>
    <row r="17" spans="1:6" x14ac:dyDescent="0.2">
      <c r="A17" s="15"/>
      <c r="B17" s="16" t="s">
        <v>572</v>
      </c>
      <c r="C17" s="15"/>
      <c r="D17" s="17">
        <f>SUM(D2:D16)</f>
        <v>118</v>
      </c>
      <c r="E17" s="15"/>
      <c r="F17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4C3C"/>
  </sheetPr>
  <dimension ref="A1:G41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12" customWidth="1"/>
    <col min="2" max="2" width="22" customWidth="1"/>
    <col min="3" max="3" width="30" customWidth="1"/>
    <col min="4" max="5" width="14" customWidth="1"/>
    <col min="6" max="6" width="16" customWidth="1"/>
    <col min="7" max="7" width="40" customWidth="1"/>
  </cols>
  <sheetData>
    <row r="1" spans="1:7" ht="16.25" customHeight="1" x14ac:dyDescent="0.2">
      <c r="A1" s="6" t="s">
        <v>573</v>
      </c>
      <c r="B1" s="6"/>
      <c r="C1" s="6"/>
      <c r="D1" s="6"/>
      <c r="E1" s="6"/>
      <c r="F1" s="6"/>
      <c r="G1" s="6"/>
    </row>
    <row r="2" spans="1:7" ht="30" customHeight="1" x14ac:dyDescent="0.2">
      <c r="A2" s="5" t="s">
        <v>574</v>
      </c>
      <c r="B2" s="5"/>
      <c r="C2" s="5"/>
      <c r="D2" s="5"/>
      <c r="E2" s="5"/>
      <c r="F2" s="5"/>
      <c r="G2" s="5"/>
    </row>
    <row r="3" spans="1:7" x14ac:dyDescent="0.2">
      <c r="A3" s="8" t="s">
        <v>0</v>
      </c>
      <c r="B3" s="8" t="s">
        <v>575</v>
      </c>
      <c r="C3" s="8" t="s">
        <v>2</v>
      </c>
      <c r="D3" s="8" t="s">
        <v>576</v>
      </c>
      <c r="E3" s="8" t="s">
        <v>577</v>
      </c>
      <c r="F3" s="8" t="s">
        <v>578</v>
      </c>
      <c r="G3" s="8" t="s">
        <v>579</v>
      </c>
    </row>
    <row r="4" spans="1:7" x14ac:dyDescent="0.2">
      <c r="A4" s="10" t="s">
        <v>50</v>
      </c>
      <c r="B4" s="10" t="s">
        <v>580</v>
      </c>
      <c r="C4" s="10" t="s">
        <v>581</v>
      </c>
      <c r="D4" s="10" t="s">
        <v>582</v>
      </c>
      <c r="E4" s="18" t="s">
        <v>583</v>
      </c>
      <c r="F4" s="10" t="s">
        <v>582</v>
      </c>
      <c r="G4" s="10" t="s">
        <v>584</v>
      </c>
    </row>
    <row r="5" spans="1:7" x14ac:dyDescent="0.2">
      <c r="A5" s="13" t="s">
        <v>55</v>
      </c>
      <c r="B5" s="13" t="s">
        <v>580</v>
      </c>
      <c r="C5" s="13" t="s">
        <v>585</v>
      </c>
      <c r="D5" s="13" t="s">
        <v>582</v>
      </c>
      <c r="E5" s="19" t="s">
        <v>583</v>
      </c>
      <c r="F5" s="13" t="s">
        <v>582</v>
      </c>
      <c r="G5" s="13" t="s">
        <v>586</v>
      </c>
    </row>
    <row r="6" spans="1:7" x14ac:dyDescent="0.2">
      <c r="A6" s="10" t="s">
        <v>59</v>
      </c>
      <c r="B6" s="10" t="s">
        <v>580</v>
      </c>
      <c r="C6" s="10" t="s">
        <v>60</v>
      </c>
      <c r="D6" s="10" t="s">
        <v>26</v>
      </c>
      <c r="E6" s="20" t="s">
        <v>587</v>
      </c>
      <c r="F6" s="10" t="s">
        <v>588</v>
      </c>
      <c r="G6" s="10" t="s">
        <v>589</v>
      </c>
    </row>
    <row r="7" spans="1:7" x14ac:dyDescent="0.2">
      <c r="A7" s="13" t="s">
        <v>63</v>
      </c>
      <c r="B7" s="13" t="s">
        <v>580</v>
      </c>
      <c r="C7" s="13" t="s">
        <v>590</v>
      </c>
      <c r="D7" s="13" t="s">
        <v>582</v>
      </c>
      <c r="E7" s="21" t="s">
        <v>591</v>
      </c>
      <c r="F7" s="13" t="s">
        <v>582</v>
      </c>
      <c r="G7" s="13" t="s">
        <v>592</v>
      </c>
    </row>
    <row r="8" spans="1:7" x14ac:dyDescent="0.2">
      <c r="A8" s="10" t="s">
        <v>67</v>
      </c>
      <c r="B8" s="10" t="s">
        <v>580</v>
      </c>
      <c r="C8" s="10" t="s">
        <v>593</v>
      </c>
      <c r="D8" s="10" t="s">
        <v>26</v>
      </c>
      <c r="E8" s="18" t="s">
        <v>583</v>
      </c>
      <c r="F8" s="10" t="s">
        <v>588</v>
      </c>
      <c r="G8" s="10" t="s">
        <v>594</v>
      </c>
    </row>
    <row r="9" spans="1:7" x14ac:dyDescent="0.2">
      <c r="A9" s="13" t="s">
        <v>71</v>
      </c>
      <c r="B9" s="13" t="s">
        <v>580</v>
      </c>
      <c r="C9" s="13" t="s">
        <v>595</v>
      </c>
      <c r="D9" s="13" t="s">
        <v>582</v>
      </c>
      <c r="E9" s="19" t="s">
        <v>583</v>
      </c>
      <c r="F9" s="13" t="s">
        <v>596</v>
      </c>
      <c r="G9" s="13" t="s">
        <v>597</v>
      </c>
    </row>
    <row r="10" spans="1:7" x14ac:dyDescent="0.2">
      <c r="A10" s="10" t="s">
        <v>76</v>
      </c>
      <c r="B10" s="10" t="s">
        <v>580</v>
      </c>
      <c r="C10" s="10" t="s">
        <v>598</v>
      </c>
      <c r="D10" s="10" t="s">
        <v>599</v>
      </c>
      <c r="E10" s="22" t="s">
        <v>600</v>
      </c>
      <c r="F10" s="10" t="s">
        <v>601</v>
      </c>
      <c r="G10" s="10" t="s">
        <v>602</v>
      </c>
    </row>
    <row r="11" spans="1:7" x14ac:dyDescent="0.2">
      <c r="A11" s="13" t="s">
        <v>80</v>
      </c>
      <c r="B11" s="13" t="s">
        <v>580</v>
      </c>
      <c r="C11" s="13" t="s">
        <v>603</v>
      </c>
      <c r="D11" s="13" t="s">
        <v>599</v>
      </c>
      <c r="E11" s="23" t="s">
        <v>600</v>
      </c>
      <c r="F11" s="13" t="s">
        <v>601</v>
      </c>
      <c r="G11" s="13" t="s">
        <v>604</v>
      </c>
    </row>
    <row r="12" spans="1:7" x14ac:dyDescent="0.2">
      <c r="A12" s="10" t="s">
        <v>431</v>
      </c>
      <c r="B12" s="10" t="s">
        <v>432</v>
      </c>
      <c r="C12" s="10" t="s">
        <v>605</v>
      </c>
      <c r="D12" s="10" t="s">
        <v>606</v>
      </c>
      <c r="E12" s="22" t="s">
        <v>600</v>
      </c>
      <c r="F12" s="10" t="s">
        <v>607</v>
      </c>
      <c r="G12" s="10" t="s">
        <v>608</v>
      </c>
    </row>
    <row r="13" spans="1:7" x14ac:dyDescent="0.2">
      <c r="A13" s="13" t="s">
        <v>437</v>
      </c>
      <c r="B13" s="13" t="s">
        <v>432</v>
      </c>
      <c r="C13" s="13" t="s">
        <v>609</v>
      </c>
      <c r="D13" s="13" t="s">
        <v>582</v>
      </c>
      <c r="E13" s="19" t="s">
        <v>583</v>
      </c>
      <c r="F13" s="13" t="s">
        <v>582</v>
      </c>
      <c r="G13" s="13" t="s">
        <v>610</v>
      </c>
    </row>
    <row r="14" spans="1:7" ht="28" x14ac:dyDescent="0.2">
      <c r="A14" s="10" t="s">
        <v>441</v>
      </c>
      <c r="B14" s="10" t="s">
        <v>432</v>
      </c>
      <c r="C14" s="10" t="s">
        <v>611</v>
      </c>
      <c r="D14" s="10" t="s">
        <v>582</v>
      </c>
      <c r="E14" s="18" t="s">
        <v>612</v>
      </c>
      <c r="F14" s="10" t="s">
        <v>613</v>
      </c>
      <c r="G14" s="10" t="s">
        <v>614</v>
      </c>
    </row>
    <row r="15" spans="1:7" ht="28" x14ac:dyDescent="0.2">
      <c r="A15" s="13" t="s">
        <v>445</v>
      </c>
      <c r="B15" s="13" t="s">
        <v>432</v>
      </c>
      <c r="C15" s="13" t="s">
        <v>446</v>
      </c>
      <c r="D15" s="13" t="s">
        <v>606</v>
      </c>
      <c r="E15" s="23" t="s">
        <v>600</v>
      </c>
      <c r="F15" s="13" t="s">
        <v>607</v>
      </c>
      <c r="G15" s="13" t="s">
        <v>615</v>
      </c>
    </row>
    <row r="16" spans="1:7" x14ac:dyDescent="0.2">
      <c r="A16" s="10" t="s">
        <v>449</v>
      </c>
      <c r="B16" s="10" t="s">
        <v>432</v>
      </c>
      <c r="C16" s="10" t="s">
        <v>450</v>
      </c>
      <c r="D16" s="10" t="s">
        <v>606</v>
      </c>
      <c r="E16" s="20" t="s">
        <v>616</v>
      </c>
      <c r="F16" s="10" t="s">
        <v>617</v>
      </c>
      <c r="G16" s="10" t="s">
        <v>618</v>
      </c>
    </row>
    <row r="17" spans="1:7" x14ac:dyDescent="0.2">
      <c r="A17" s="13" t="s">
        <v>453</v>
      </c>
      <c r="B17" s="13" t="s">
        <v>432</v>
      </c>
      <c r="C17" s="13" t="s">
        <v>619</v>
      </c>
      <c r="D17" s="13" t="s">
        <v>599</v>
      </c>
      <c r="E17" s="24" t="s">
        <v>587</v>
      </c>
      <c r="F17" s="13" t="s">
        <v>620</v>
      </c>
      <c r="G17" s="13" t="s">
        <v>621</v>
      </c>
    </row>
    <row r="18" spans="1:7" ht="28" x14ac:dyDescent="0.2">
      <c r="A18" s="10" t="s">
        <v>456</v>
      </c>
      <c r="B18" s="10" t="s">
        <v>432</v>
      </c>
      <c r="C18" s="10" t="s">
        <v>457</v>
      </c>
      <c r="D18" s="10" t="s">
        <v>599</v>
      </c>
      <c r="E18" s="18" t="s">
        <v>583</v>
      </c>
      <c r="F18" s="10" t="s">
        <v>601</v>
      </c>
      <c r="G18" s="10" t="s">
        <v>622</v>
      </c>
    </row>
    <row r="19" spans="1:7" x14ac:dyDescent="0.2">
      <c r="A19" s="13" t="s">
        <v>460</v>
      </c>
      <c r="B19" s="13" t="s">
        <v>623</v>
      </c>
      <c r="C19" s="13" t="s">
        <v>624</v>
      </c>
      <c r="D19" s="13" t="s">
        <v>582</v>
      </c>
      <c r="E19" s="19" t="s">
        <v>583</v>
      </c>
      <c r="F19" s="13" t="s">
        <v>625</v>
      </c>
      <c r="G19" s="13" t="s">
        <v>626</v>
      </c>
    </row>
    <row r="20" spans="1:7" ht="28" x14ac:dyDescent="0.2">
      <c r="A20" s="10" t="s">
        <v>466</v>
      </c>
      <c r="B20" s="10" t="s">
        <v>623</v>
      </c>
      <c r="C20" s="10" t="s">
        <v>627</v>
      </c>
      <c r="D20" s="10" t="s">
        <v>599</v>
      </c>
      <c r="E20" s="25" t="s">
        <v>628</v>
      </c>
      <c r="F20" s="10" t="s">
        <v>601</v>
      </c>
      <c r="G20" s="10" t="s">
        <v>629</v>
      </c>
    </row>
    <row r="21" spans="1:7" x14ac:dyDescent="0.2">
      <c r="A21" s="13" t="s">
        <v>471</v>
      </c>
      <c r="B21" s="13" t="s">
        <v>623</v>
      </c>
      <c r="C21" s="13" t="s">
        <v>630</v>
      </c>
      <c r="D21" s="13" t="s">
        <v>599</v>
      </c>
      <c r="E21" s="23" t="s">
        <v>600</v>
      </c>
      <c r="F21" s="13" t="s">
        <v>601</v>
      </c>
      <c r="G21" s="13" t="s">
        <v>631</v>
      </c>
    </row>
    <row r="22" spans="1:7" ht="28" x14ac:dyDescent="0.2">
      <c r="A22" s="10" t="s">
        <v>474</v>
      </c>
      <c r="B22" s="10" t="s">
        <v>623</v>
      </c>
      <c r="C22" s="10" t="s">
        <v>632</v>
      </c>
      <c r="D22" s="10" t="s">
        <v>599</v>
      </c>
      <c r="E22" s="22" t="s">
        <v>600</v>
      </c>
      <c r="F22" s="10" t="s">
        <v>601</v>
      </c>
      <c r="G22" s="10" t="s">
        <v>633</v>
      </c>
    </row>
    <row r="23" spans="1:7" x14ac:dyDescent="0.2">
      <c r="A23" s="13" t="s">
        <v>477</v>
      </c>
      <c r="B23" s="13" t="s">
        <v>623</v>
      </c>
      <c r="C23" s="13" t="s">
        <v>634</v>
      </c>
      <c r="D23" s="13" t="s">
        <v>599</v>
      </c>
      <c r="E23" s="24" t="s">
        <v>587</v>
      </c>
      <c r="F23" s="13" t="s">
        <v>588</v>
      </c>
      <c r="G23" s="13" t="s">
        <v>635</v>
      </c>
    </row>
    <row r="24" spans="1:7" ht="28" x14ac:dyDescent="0.2">
      <c r="A24" s="10" t="s">
        <v>481</v>
      </c>
      <c r="B24" s="10" t="s">
        <v>623</v>
      </c>
      <c r="C24" s="10" t="s">
        <v>636</v>
      </c>
      <c r="D24" s="10" t="s">
        <v>599</v>
      </c>
      <c r="E24" s="20" t="s">
        <v>587</v>
      </c>
      <c r="F24" s="10" t="s">
        <v>588</v>
      </c>
      <c r="G24" s="10" t="s">
        <v>637</v>
      </c>
    </row>
    <row r="25" spans="1:7" ht="28" x14ac:dyDescent="0.2">
      <c r="A25" s="13" t="s">
        <v>485</v>
      </c>
      <c r="B25" s="13" t="s">
        <v>623</v>
      </c>
      <c r="C25" s="13" t="s">
        <v>638</v>
      </c>
      <c r="D25" s="13" t="s">
        <v>599</v>
      </c>
      <c r="E25" s="23" t="s">
        <v>600</v>
      </c>
      <c r="F25" s="13" t="s">
        <v>582</v>
      </c>
      <c r="G25" s="13" t="s">
        <v>639</v>
      </c>
    </row>
    <row r="26" spans="1:7" x14ac:dyDescent="0.2">
      <c r="A26" s="10" t="s">
        <v>490</v>
      </c>
      <c r="B26" s="10" t="s">
        <v>640</v>
      </c>
      <c r="C26" s="10" t="s">
        <v>641</v>
      </c>
      <c r="D26" s="10" t="s">
        <v>26</v>
      </c>
      <c r="E26" s="22" t="s">
        <v>600</v>
      </c>
      <c r="F26" s="10" t="s">
        <v>601</v>
      </c>
      <c r="G26" s="10" t="s">
        <v>642</v>
      </c>
    </row>
    <row r="27" spans="1:7" x14ac:dyDescent="0.2">
      <c r="A27" s="13" t="s">
        <v>495</v>
      </c>
      <c r="B27" s="13" t="s">
        <v>640</v>
      </c>
      <c r="C27" s="13" t="s">
        <v>496</v>
      </c>
      <c r="D27" s="13" t="s">
        <v>26</v>
      </c>
      <c r="E27" s="23" t="s">
        <v>600</v>
      </c>
      <c r="F27" s="13" t="s">
        <v>601</v>
      </c>
      <c r="G27" s="13" t="s">
        <v>643</v>
      </c>
    </row>
    <row r="28" spans="1:7" x14ac:dyDescent="0.2">
      <c r="A28" s="10" t="s">
        <v>499</v>
      </c>
      <c r="B28" s="10" t="s">
        <v>640</v>
      </c>
      <c r="C28" s="10" t="s">
        <v>644</v>
      </c>
      <c r="D28" s="10" t="s">
        <v>26</v>
      </c>
      <c r="E28" s="18" t="s">
        <v>583</v>
      </c>
      <c r="F28" s="10" t="s">
        <v>588</v>
      </c>
      <c r="G28" s="10" t="s">
        <v>645</v>
      </c>
    </row>
    <row r="29" spans="1:7" x14ac:dyDescent="0.2">
      <c r="A29" s="13" t="s">
        <v>503</v>
      </c>
      <c r="B29" s="13" t="s">
        <v>640</v>
      </c>
      <c r="C29" s="13" t="s">
        <v>646</v>
      </c>
      <c r="D29" s="13" t="s">
        <v>582</v>
      </c>
      <c r="E29" s="21" t="s">
        <v>591</v>
      </c>
      <c r="F29" s="13" t="s">
        <v>582</v>
      </c>
      <c r="G29" s="13" t="s">
        <v>647</v>
      </c>
    </row>
    <row r="30" spans="1:7" x14ac:dyDescent="0.2">
      <c r="A30" s="10" t="s">
        <v>507</v>
      </c>
      <c r="B30" s="10" t="s">
        <v>640</v>
      </c>
      <c r="C30" s="10" t="s">
        <v>648</v>
      </c>
      <c r="D30" s="10" t="s">
        <v>599</v>
      </c>
      <c r="E30" s="20" t="s">
        <v>587</v>
      </c>
      <c r="F30" s="10" t="s">
        <v>620</v>
      </c>
      <c r="G30" s="10" t="s">
        <v>649</v>
      </c>
    </row>
    <row r="31" spans="1:7" x14ac:dyDescent="0.2">
      <c r="A31" s="13" t="s">
        <v>512</v>
      </c>
      <c r="B31" s="13" t="s">
        <v>640</v>
      </c>
      <c r="C31" s="13" t="s">
        <v>650</v>
      </c>
      <c r="D31" s="13" t="s">
        <v>26</v>
      </c>
      <c r="E31" s="23" t="s">
        <v>600</v>
      </c>
      <c r="F31" s="13" t="s">
        <v>601</v>
      </c>
      <c r="G31" s="13" t="s">
        <v>651</v>
      </c>
    </row>
    <row r="32" spans="1:7" x14ac:dyDescent="0.2">
      <c r="A32" s="10" t="s">
        <v>515</v>
      </c>
      <c r="B32" s="10" t="s">
        <v>640</v>
      </c>
      <c r="C32" s="10" t="s">
        <v>652</v>
      </c>
      <c r="D32" s="10" t="s">
        <v>599</v>
      </c>
      <c r="E32" s="20" t="s">
        <v>587</v>
      </c>
      <c r="F32" s="10" t="s">
        <v>620</v>
      </c>
      <c r="G32" s="10" t="s">
        <v>653</v>
      </c>
    </row>
    <row r="33" spans="1:7" x14ac:dyDescent="0.2">
      <c r="A33" s="13" t="s">
        <v>519</v>
      </c>
      <c r="B33" s="13" t="s">
        <v>640</v>
      </c>
      <c r="C33" s="13" t="s">
        <v>520</v>
      </c>
      <c r="D33" s="13" t="s">
        <v>26</v>
      </c>
      <c r="E33" s="23" t="s">
        <v>600</v>
      </c>
      <c r="F33" s="13" t="s">
        <v>601</v>
      </c>
      <c r="G33" s="13" t="s">
        <v>654</v>
      </c>
    </row>
    <row r="35" spans="1:7" x14ac:dyDescent="0.2">
      <c r="A35" s="4" t="s">
        <v>655</v>
      </c>
      <c r="B35" s="4"/>
      <c r="C35" s="4"/>
      <c r="D35" s="4"/>
      <c r="E35" s="4"/>
      <c r="F35" s="4"/>
      <c r="G35" s="4"/>
    </row>
    <row r="36" spans="1:7" x14ac:dyDescent="0.2">
      <c r="A36" s="26" t="s">
        <v>656</v>
      </c>
      <c r="B36" s="27">
        <v>30</v>
      </c>
    </row>
    <row r="37" spans="1:7" x14ac:dyDescent="0.2">
      <c r="A37" s="26" t="s">
        <v>657</v>
      </c>
      <c r="B37" s="27">
        <f>COUNTIF(E4:E33,"MET")+COUNTIF(E4:E33,"MET (completed)")</f>
        <v>9</v>
      </c>
    </row>
    <row r="38" spans="1:7" x14ac:dyDescent="0.2">
      <c r="A38" s="26" t="s">
        <v>658</v>
      </c>
      <c r="B38" s="27">
        <f>COUNTIF(E4:E33,"NOT MET")+COUNTIF(E4:E33,"OVERDUE")</f>
        <v>7</v>
      </c>
    </row>
    <row r="39" spans="1:7" x14ac:dyDescent="0.2">
      <c r="A39" s="26" t="s">
        <v>659</v>
      </c>
      <c r="B39" s="27">
        <f>COUNTIF(E4:E33,"DUE")+COUNTIF(E4:E33,"DUE SOON")+COUNTIF(E4:E33,"AT RISK")+COUNTIF(E4:E33,"ONGOING")</f>
        <v>12</v>
      </c>
    </row>
    <row r="40" spans="1:7" x14ac:dyDescent="0.2">
      <c r="A40" s="26" t="s">
        <v>660</v>
      </c>
      <c r="B40" s="27">
        <f>COUNTIF(E4:E33,"N/A")</f>
        <v>2</v>
      </c>
    </row>
    <row r="41" spans="1:7" x14ac:dyDescent="0.2">
      <c r="A41" s="26" t="s">
        <v>661</v>
      </c>
      <c r="B41" s="28">
        <f>B37/(B36-B40)</f>
        <v>0.32142857142857145</v>
      </c>
    </row>
  </sheetData>
  <mergeCells count="3">
    <mergeCell ref="A1:G1"/>
    <mergeCell ref="A2:G2"/>
    <mergeCell ref="A35:G3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C20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2" width="52" customWidth="1"/>
    <col min="3" max="3" width="56" customWidth="1"/>
  </cols>
  <sheetData>
    <row r="1" spans="1:3" ht="15" customHeight="1" x14ac:dyDescent="0.2">
      <c r="A1" s="3" t="s">
        <v>662</v>
      </c>
      <c r="B1" s="3"/>
      <c r="C1" s="3"/>
    </row>
    <row r="2" spans="1:3" x14ac:dyDescent="0.2">
      <c r="A2" s="8" t="s">
        <v>663</v>
      </c>
      <c r="B2" s="8" t="s">
        <v>664</v>
      </c>
      <c r="C2" s="8" t="s">
        <v>665</v>
      </c>
    </row>
    <row r="3" spans="1:3" ht="28" x14ac:dyDescent="0.2">
      <c r="A3" s="10" t="s">
        <v>666</v>
      </c>
      <c r="B3" s="10" t="s">
        <v>667</v>
      </c>
      <c r="C3" s="10" t="s">
        <v>668</v>
      </c>
    </row>
    <row r="4" spans="1:3" ht="28" x14ac:dyDescent="0.2">
      <c r="A4" s="13" t="s">
        <v>669</v>
      </c>
      <c r="B4" s="13" t="s">
        <v>670</v>
      </c>
      <c r="C4" s="13" t="s">
        <v>671</v>
      </c>
    </row>
    <row r="5" spans="1:3" ht="28" x14ac:dyDescent="0.2">
      <c r="A5" s="10" t="s">
        <v>672</v>
      </c>
      <c r="B5" s="10" t="s">
        <v>673</v>
      </c>
      <c r="C5" s="10" t="s">
        <v>674</v>
      </c>
    </row>
    <row r="6" spans="1:3" ht="28" x14ac:dyDescent="0.2">
      <c r="A6" s="13" t="s">
        <v>675</v>
      </c>
      <c r="B6" s="13" t="s">
        <v>676</v>
      </c>
      <c r="C6" s="13" t="s">
        <v>677</v>
      </c>
    </row>
    <row r="7" spans="1:3" ht="28" x14ac:dyDescent="0.2">
      <c r="A7" s="10" t="s">
        <v>678</v>
      </c>
      <c r="B7" s="10" t="s">
        <v>679</v>
      </c>
      <c r="C7" s="10" t="s">
        <v>680</v>
      </c>
    </row>
    <row r="8" spans="1:3" x14ac:dyDescent="0.2">
      <c r="A8" s="13" t="s">
        <v>68</v>
      </c>
      <c r="B8" s="13" t="s">
        <v>681</v>
      </c>
      <c r="C8" s="13" t="s">
        <v>682</v>
      </c>
    </row>
    <row r="9" spans="1:3" ht="28" x14ac:dyDescent="0.2">
      <c r="A9" s="10" t="s">
        <v>683</v>
      </c>
      <c r="B9" s="10" t="s">
        <v>684</v>
      </c>
      <c r="C9" s="10" t="s">
        <v>685</v>
      </c>
    </row>
    <row r="10" spans="1:3" ht="28" x14ac:dyDescent="0.2">
      <c r="A10" s="13" t="s">
        <v>686</v>
      </c>
      <c r="B10" s="13" t="s">
        <v>687</v>
      </c>
      <c r="C10" s="13" t="s">
        <v>688</v>
      </c>
    </row>
    <row r="11" spans="1:3" ht="28" x14ac:dyDescent="0.2">
      <c r="A11" s="10" t="s">
        <v>414</v>
      </c>
      <c r="B11" s="10" t="s">
        <v>689</v>
      </c>
      <c r="C11" s="10" t="s">
        <v>690</v>
      </c>
    </row>
    <row r="12" spans="1:3" ht="28" x14ac:dyDescent="0.2">
      <c r="A12" s="13" t="s">
        <v>691</v>
      </c>
      <c r="B12" s="13" t="s">
        <v>692</v>
      </c>
      <c r="C12" s="13" t="s">
        <v>693</v>
      </c>
    </row>
    <row r="13" spans="1:3" ht="28" x14ac:dyDescent="0.2">
      <c r="A13" s="10" t="s">
        <v>694</v>
      </c>
      <c r="B13" s="10" t="s">
        <v>695</v>
      </c>
      <c r="C13" s="10" t="s">
        <v>696</v>
      </c>
    </row>
    <row r="14" spans="1:3" ht="28" x14ac:dyDescent="0.2">
      <c r="A14" s="13" t="s">
        <v>516</v>
      </c>
      <c r="B14" s="13" t="s">
        <v>697</v>
      </c>
      <c r="C14" s="13" t="s">
        <v>698</v>
      </c>
    </row>
    <row r="15" spans="1:3" ht="28" x14ac:dyDescent="0.2">
      <c r="A15" s="10" t="s">
        <v>699</v>
      </c>
      <c r="B15" s="10" t="s">
        <v>700</v>
      </c>
      <c r="C15" s="10" t="s">
        <v>701</v>
      </c>
    </row>
    <row r="16" spans="1:3" ht="28" x14ac:dyDescent="0.2">
      <c r="A16" s="13" t="s">
        <v>702</v>
      </c>
      <c r="B16" s="13" t="s">
        <v>703</v>
      </c>
      <c r="C16" s="13" t="s">
        <v>704</v>
      </c>
    </row>
    <row r="17" spans="1:3" ht="28" x14ac:dyDescent="0.2">
      <c r="A17" s="10" t="s">
        <v>705</v>
      </c>
      <c r="B17" s="10" t="s">
        <v>706</v>
      </c>
      <c r="C17" s="10" t="s">
        <v>707</v>
      </c>
    </row>
    <row r="18" spans="1:3" ht="28" x14ac:dyDescent="0.2">
      <c r="A18" s="13" t="s">
        <v>708</v>
      </c>
      <c r="B18" s="13" t="s">
        <v>709</v>
      </c>
      <c r="C18" s="13" t="s">
        <v>710</v>
      </c>
    </row>
    <row r="19" spans="1:3" ht="28" x14ac:dyDescent="0.2">
      <c r="A19" s="10" t="s">
        <v>711</v>
      </c>
      <c r="B19" s="10" t="s">
        <v>712</v>
      </c>
      <c r="C19" s="10" t="s">
        <v>713</v>
      </c>
    </row>
    <row r="20" spans="1:3" ht="28" x14ac:dyDescent="0.2">
      <c r="A20" s="13" t="s">
        <v>714</v>
      </c>
      <c r="B20" s="13" t="s">
        <v>715</v>
      </c>
      <c r="C20" s="13" t="s">
        <v>716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D35"/>
  <sheetViews>
    <sheetView zoomScaleNormal="100" workbookViewId="0"/>
  </sheetViews>
  <sheetFormatPr baseColWidth="10" defaultColWidth="8.6640625" defaultRowHeight="15" customHeight="1" x14ac:dyDescent="0.2"/>
  <cols>
    <col min="1" max="1" width="5" customWidth="1"/>
    <col min="2" max="2" width="42" customWidth="1"/>
    <col min="3" max="3" width="16" customWidth="1"/>
    <col min="4" max="4" width="12" customWidth="1"/>
  </cols>
  <sheetData>
    <row r="1" spans="1:4" ht="26.75" customHeight="1" x14ac:dyDescent="0.2">
      <c r="A1" s="2" t="s">
        <v>717</v>
      </c>
      <c r="B1" s="2"/>
      <c r="C1" s="2"/>
      <c r="D1" s="2"/>
    </row>
    <row r="2" spans="1:4" x14ac:dyDescent="0.2">
      <c r="A2" s="8" t="s">
        <v>522</v>
      </c>
      <c r="B2" s="8" t="s">
        <v>523</v>
      </c>
      <c r="C2" s="8" t="s">
        <v>718</v>
      </c>
      <c r="D2" s="8" t="s">
        <v>6</v>
      </c>
    </row>
    <row r="3" spans="1:4" x14ac:dyDescent="0.2">
      <c r="A3" s="11">
        <v>1</v>
      </c>
      <c r="B3" s="10" t="s">
        <v>719</v>
      </c>
      <c r="C3" s="11" t="s">
        <v>720</v>
      </c>
      <c r="D3" s="11">
        <v>8</v>
      </c>
    </row>
    <row r="4" spans="1:4" x14ac:dyDescent="0.2">
      <c r="A4" s="14">
        <v>2</v>
      </c>
      <c r="B4" s="13" t="s">
        <v>721</v>
      </c>
      <c r="C4" s="14" t="s">
        <v>722</v>
      </c>
      <c r="D4" s="14">
        <v>6</v>
      </c>
    </row>
    <row r="5" spans="1:4" x14ac:dyDescent="0.2">
      <c r="A5" s="11">
        <v>3</v>
      </c>
      <c r="B5" s="10" t="s">
        <v>723</v>
      </c>
      <c r="C5" s="11" t="s">
        <v>724</v>
      </c>
      <c r="D5" s="11">
        <v>8</v>
      </c>
    </row>
    <row r="6" spans="1:4" x14ac:dyDescent="0.2">
      <c r="A6" s="14">
        <v>4</v>
      </c>
      <c r="B6" s="13" t="s">
        <v>725</v>
      </c>
      <c r="C6" s="14" t="s">
        <v>726</v>
      </c>
      <c r="D6" s="14">
        <v>7</v>
      </c>
    </row>
    <row r="7" spans="1:4" x14ac:dyDescent="0.2">
      <c r="A7" s="11">
        <v>5</v>
      </c>
      <c r="B7" s="10" t="s">
        <v>727</v>
      </c>
      <c r="C7" s="11" t="s">
        <v>728</v>
      </c>
      <c r="D7" s="11">
        <v>8</v>
      </c>
    </row>
    <row r="8" spans="1:4" x14ac:dyDescent="0.2">
      <c r="A8" s="14">
        <v>6</v>
      </c>
      <c r="B8" s="13" t="s">
        <v>729</v>
      </c>
      <c r="C8" s="14" t="s">
        <v>730</v>
      </c>
      <c r="D8" s="14">
        <v>7</v>
      </c>
    </row>
    <row r="9" spans="1:4" x14ac:dyDescent="0.2">
      <c r="A9" s="11">
        <v>7</v>
      </c>
      <c r="B9" s="10" t="s">
        <v>731</v>
      </c>
      <c r="C9" s="11" t="s">
        <v>732</v>
      </c>
      <c r="D9" s="11">
        <v>9</v>
      </c>
    </row>
    <row r="10" spans="1:4" x14ac:dyDescent="0.2">
      <c r="A10" s="14">
        <v>8</v>
      </c>
      <c r="B10" s="13" t="s">
        <v>733</v>
      </c>
      <c r="C10" s="14" t="s">
        <v>734</v>
      </c>
      <c r="D10" s="14">
        <v>6</v>
      </c>
    </row>
    <row r="11" spans="1:4" x14ac:dyDescent="0.2">
      <c r="A11" s="11">
        <v>9</v>
      </c>
      <c r="B11" s="10" t="s">
        <v>735</v>
      </c>
      <c r="C11" s="11" t="s">
        <v>736</v>
      </c>
      <c r="D11" s="11">
        <v>7</v>
      </c>
    </row>
    <row r="12" spans="1:4" x14ac:dyDescent="0.2">
      <c r="A12" s="14">
        <v>10</v>
      </c>
      <c r="B12" s="13" t="s">
        <v>737</v>
      </c>
      <c r="C12" s="14" t="s">
        <v>738</v>
      </c>
      <c r="D12" s="14">
        <v>6</v>
      </c>
    </row>
    <row r="13" spans="1:4" x14ac:dyDescent="0.2">
      <c r="A13" s="11">
        <v>11</v>
      </c>
      <c r="B13" s="10" t="s">
        <v>739</v>
      </c>
      <c r="C13" s="11" t="s">
        <v>740</v>
      </c>
      <c r="D13" s="11">
        <v>6</v>
      </c>
    </row>
    <row r="14" spans="1:4" x14ac:dyDescent="0.2">
      <c r="A14" s="14">
        <v>12</v>
      </c>
      <c r="B14" s="13" t="s">
        <v>741</v>
      </c>
      <c r="C14" s="14" t="s">
        <v>742</v>
      </c>
      <c r="D14" s="14">
        <v>7</v>
      </c>
    </row>
    <row r="15" spans="1:4" x14ac:dyDescent="0.2">
      <c r="A15" s="11">
        <v>13</v>
      </c>
      <c r="B15" s="10" t="s">
        <v>743</v>
      </c>
      <c r="C15" s="11" t="s">
        <v>744</v>
      </c>
      <c r="D15" s="11">
        <v>8</v>
      </c>
    </row>
    <row r="16" spans="1:4" x14ac:dyDescent="0.2">
      <c r="A16" s="14">
        <v>14</v>
      </c>
      <c r="B16" s="13" t="s">
        <v>745</v>
      </c>
      <c r="C16" s="14" t="s">
        <v>746</v>
      </c>
      <c r="D16" s="14">
        <v>7</v>
      </c>
    </row>
    <row r="17" spans="1:4" x14ac:dyDescent="0.2">
      <c r="A17" s="11">
        <v>15</v>
      </c>
      <c r="B17" s="10" t="s">
        <v>747</v>
      </c>
      <c r="C17" s="11" t="s">
        <v>748</v>
      </c>
      <c r="D17" s="11">
        <v>6</v>
      </c>
    </row>
    <row r="18" spans="1:4" ht="15" customHeight="1" x14ac:dyDescent="0.2">
      <c r="A18" s="1" t="s">
        <v>749</v>
      </c>
      <c r="B18" s="1"/>
      <c r="C18" s="1"/>
      <c r="D18" s="1"/>
    </row>
    <row r="19" spans="1:4" x14ac:dyDescent="0.2">
      <c r="A19" s="11">
        <v>16</v>
      </c>
      <c r="B19" s="10" t="s">
        <v>9</v>
      </c>
      <c r="C19" s="11" t="s">
        <v>527</v>
      </c>
      <c r="D19" s="11">
        <v>9</v>
      </c>
    </row>
    <row r="20" spans="1:4" ht="28" x14ac:dyDescent="0.2">
      <c r="A20" s="14">
        <v>17</v>
      </c>
      <c r="B20" s="13" t="s">
        <v>51</v>
      </c>
      <c r="C20" s="14" t="s">
        <v>530</v>
      </c>
      <c r="D20" s="14">
        <v>8</v>
      </c>
    </row>
    <row r="21" spans="1:4" x14ac:dyDescent="0.2">
      <c r="A21" s="11">
        <v>18</v>
      </c>
      <c r="B21" s="10" t="s">
        <v>87</v>
      </c>
      <c r="C21" s="11" t="s">
        <v>533</v>
      </c>
      <c r="D21" s="11">
        <v>9</v>
      </c>
    </row>
    <row r="22" spans="1:4" x14ac:dyDescent="0.2">
      <c r="A22" s="14">
        <v>19</v>
      </c>
      <c r="B22" s="13" t="s">
        <v>126</v>
      </c>
      <c r="C22" s="14" t="s">
        <v>536</v>
      </c>
      <c r="D22" s="14">
        <v>7</v>
      </c>
    </row>
    <row r="23" spans="1:4" x14ac:dyDescent="0.2">
      <c r="A23" s="11">
        <v>20</v>
      </c>
      <c r="B23" s="10" t="s">
        <v>157</v>
      </c>
      <c r="C23" s="11" t="s">
        <v>539</v>
      </c>
      <c r="D23" s="11">
        <v>7</v>
      </c>
    </row>
    <row r="24" spans="1:4" x14ac:dyDescent="0.2">
      <c r="A24" s="14">
        <v>21</v>
      </c>
      <c r="B24" s="13" t="s">
        <v>187</v>
      </c>
      <c r="C24" s="14" t="s">
        <v>542</v>
      </c>
      <c r="D24" s="14">
        <v>6</v>
      </c>
    </row>
    <row r="25" spans="1:4" x14ac:dyDescent="0.2">
      <c r="A25" s="11">
        <v>22</v>
      </c>
      <c r="B25" s="10" t="s">
        <v>210</v>
      </c>
      <c r="C25" s="11" t="s">
        <v>545</v>
      </c>
      <c r="D25" s="11">
        <v>7</v>
      </c>
    </row>
    <row r="26" spans="1:4" x14ac:dyDescent="0.2">
      <c r="A26" s="14">
        <v>23</v>
      </c>
      <c r="B26" s="13" t="s">
        <v>240</v>
      </c>
      <c r="C26" s="14" t="s">
        <v>548</v>
      </c>
      <c r="D26" s="14">
        <v>8</v>
      </c>
    </row>
    <row r="27" spans="1:4" x14ac:dyDescent="0.2">
      <c r="A27" s="11">
        <v>24</v>
      </c>
      <c r="B27" s="10" t="s">
        <v>275</v>
      </c>
      <c r="C27" s="11" t="s">
        <v>551</v>
      </c>
      <c r="D27" s="11">
        <v>10</v>
      </c>
    </row>
    <row r="28" spans="1:4" x14ac:dyDescent="0.2">
      <c r="A28" s="14">
        <v>25</v>
      </c>
      <c r="B28" s="13" t="s">
        <v>318</v>
      </c>
      <c r="C28" s="14" t="s">
        <v>554</v>
      </c>
      <c r="D28" s="14">
        <v>8</v>
      </c>
    </row>
    <row r="29" spans="1:4" x14ac:dyDescent="0.2">
      <c r="A29" s="11">
        <v>26</v>
      </c>
      <c r="B29" s="10" t="s">
        <v>356</v>
      </c>
      <c r="C29" s="11" t="s">
        <v>557</v>
      </c>
      <c r="D29" s="11">
        <v>8</v>
      </c>
    </row>
    <row r="30" spans="1:4" x14ac:dyDescent="0.2">
      <c r="A30" s="14">
        <v>27</v>
      </c>
      <c r="B30" s="13" t="s">
        <v>392</v>
      </c>
      <c r="C30" s="14" t="s">
        <v>560</v>
      </c>
      <c r="D30" s="14">
        <v>9</v>
      </c>
    </row>
    <row r="31" spans="1:4" x14ac:dyDescent="0.2">
      <c r="A31" s="11">
        <v>28</v>
      </c>
      <c r="B31" s="10" t="s">
        <v>432</v>
      </c>
      <c r="C31" s="11" t="s">
        <v>563</v>
      </c>
      <c r="D31" s="11">
        <v>7</v>
      </c>
    </row>
    <row r="32" spans="1:4" x14ac:dyDescent="0.2">
      <c r="A32" s="14">
        <v>29</v>
      </c>
      <c r="B32" s="13" t="s">
        <v>461</v>
      </c>
      <c r="C32" s="14" t="s">
        <v>566</v>
      </c>
      <c r="D32" s="14">
        <v>7</v>
      </c>
    </row>
    <row r="33" spans="1:4" x14ac:dyDescent="0.2">
      <c r="A33" s="11">
        <v>30</v>
      </c>
      <c r="B33" s="10" t="s">
        <v>491</v>
      </c>
      <c r="C33" s="11" t="s">
        <v>569</v>
      </c>
      <c r="D33" s="11">
        <v>8</v>
      </c>
    </row>
    <row r="35" spans="1:4" x14ac:dyDescent="0.2">
      <c r="A35" s="15"/>
      <c r="B35" s="29" t="s">
        <v>750</v>
      </c>
      <c r="C35" s="15"/>
      <c r="D35" s="30">
        <f>SUM(D3:D17)+SUM(D19:D34)</f>
        <v>224</v>
      </c>
    </row>
  </sheetData>
  <mergeCells count="2">
    <mergeCell ref="A1:D1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Care Gap Bundles 16-30</vt:lpstr>
      <vt:lpstr>Bundle Summary 16-30</vt:lpstr>
      <vt:lpstr>Patient Example</vt:lpstr>
      <vt:lpstr>Overlap Map 16-30</vt:lpstr>
      <vt:lpstr>Master Index (All 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2026-02-26T02:14:32Z</dcterms:created>
  <dcterms:modified xsi:type="dcterms:W3CDTF">2026-02-26T02:43:34Z</dcterms:modified>
  <dc:language>en-US</dc:language>
</cp:coreProperties>
</file>