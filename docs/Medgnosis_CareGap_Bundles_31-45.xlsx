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udoshi/Desktop/"/>
    </mc:Choice>
  </mc:AlternateContent>
  <xr:revisionPtr revIDLastSave="0" documentId="8_{4BAF23DF-3D6C-1E46-9A00-82544210A56B}" xr6:coauthVersionLast="47" xr6:coauthVersionMax="47" xr10:uidLastSave="{00000000-0000-0000-0000-000000000000}"/>
  <bookViews>
    <workbookView xWindow="0" yWindow="500" windowWidth="42280" windowHeight="28960" tabRatio="500" xr2:uid="{00000000-000D-0000-FFFF-FFFF00000000}"/>
  </bookViews>
  <sheets>
    <sheet name="Care Gap Bundles 31-45" sheetId="1" r:id="rId1"/>
    <sheet name="Bundle Summary 31-45" sheetId="2" r:id="rId2"/>
    <sheet name="Patient Example" sheetId="3" r:id="rId3"/>
    <sheet name="Overlap Map 31-45" sheetId="4" r:id="rId4"/>
    <sheet name="Grand Master Index (All 45)" sheetId="5" r:id="rId5"/>
  </sheets>
  <definedNames>
    <definedName name="_xlnm._FilterDatabase" localSheetId="0" hidden="1">'Care Gap Bundles 31-45'!$A$1:$G$1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5" i="5" l="1"/>
  <c r="D53" i="5"/>
  <c r="D36" i="5"/>
  <c r="D19" i="5"/>
  <c r="B39" i="3"/>
  <c r="B38" i="3"/>
  <c r="B37" i="3"/>
  <c r="B36" i="3"/>
  <c r="B40" i="3" s="1"/>
  <c r="D17" i="2"/>
</calcChain>
</file>

<file path=xl/sharedStrings.xml><?xml version="1.0" encoding="utf-8"?>
<sst xmlns="http://schemas.openxmlformats.org/spreadsheetml/2006/main" count="1251" uniqueCount="836">
  <si>
    <t>Measure ID</t>
  </si>
  <si>
    <t>Condition</t>
  </si>
  <si>
    <t>Care Gap Measure</t>
  </si>
  <si>
    <t>Description &amp; Action Required</t>
  </si>
  <si>
    <t>Frequency</t>
  </si>
  <si>
    <t>eCQM / Guideline Reference</t>
  </si>
  <si>
    <t>Bundle Size</t>
  </si>
  <si>
    <t>Type 1 Diabetes Mellitus  (E10.x)</t>
  </si>
  <si>
    <t>T1D-01</t>
  </si>
  <si>
    <t>Type 1 Diabetes Mellitus</t>
  </si>
  <si>
    <t>HbA1c Monitoring</t>
  </si>
  <si>
    <t>Order and document HbA1c; assess against individualized glycemic target (typically &lt;7.0% for most adults)</t>
  </si>
  <si>
    <t>Every 3 months (minimum quarterly)</t>
  </si>
  <si>
    <t>CMS122v12 / ADA Standards</t>
  </si>
  <si>
    <t>T1D-02</t>
  </si>
  <si>
    <t>Continuous Glucose Monitor (CGM) Review</t>
  </si>
  <si>
    <t>Download and review CGM data: Time in Range (TIR 70–180 mg/dL target &gt;70%), Time Below Range (&lt;4%), and GMI</t>
  </si>
  <si>
    <t>Every visit</t>
  </si>
  <si>
    <t>ADA Standards / Endocrine Society</t>
  </si>
  <si>
    <t>T1D-03</t>
  </si>
  <si>
    <t>Insulin Regimen Optimization</t>
  </si>
  <si>
    <t>Review basal-bolus or insulin pump settings; adjust ICR, ISF, and basal rates based on CGM patterns</t>
  </si>
  <si>
    <t>ADA Standards</t>
  </si>
  <si>
    <t>T1D-04</t>
  </si>
  <si>
    <t>Hypoglycemia Assessment</t>
  </si>
  <si>
    <t>Document frequency of Level 1 (&lt;70), Level 2 (&lt;54), and Level 3 (severe) hypoglycemic events; assess awareness</t>
  </si>
  <si>
    <t>T1D-05</t>
  </si>
  <si>
    <t>Dilated Retinal Eye Exam</t>
  </si>
  <si>
    <t>Refer for annual dilated fundoscopic exam by ophthalmology; begin 5 years after diagnosis for T1D</t>
  </si>
  <si>
    <t>Annually (5 yrs post-dx)</t>
  </si>
  <si>
    <t>CMS131v12 / ADA</t>
  </si>
  <si>
    <t>T1D-06</t>
  </si>
  <si>
    <t>Nephropathy Screening (uACR)</t>
  </si>
  <si>
    <t>Order urine albumin-to-creatinine ratio; begin 5 years after diagnosis for T1D</t>
  </si>
  <si>
    <t>CMS134v12 / ADA</t>
  </si>
  <si>
    <t>T1D-07</t>
  </si>
  <si>
    <t>Lipid Panel &amp; Statin Assessment</t>
  </si>
  <si>
    <t>Order fasting lipid panel; consider statin for patients aged ≥40 or with additional ASCVD risk factors</t>
  </si>
  <si>
    <t>Annually</t>
  </si>
  <si>
    <t>CMS347v7 / ADA</t>
  </si>
  <si>
    <t>T1D-08</t>
  </si>
  <si>
    <t>Blood Pressure Control</t>
  </si>
  <si>
    <t>Measure seated BP; target &lt;130/80 mmHg for diabetic patients</t>
  </si>
  <si>
    <t>CMS165v12 / ADA</t>
  </si>
  <si>
    <t>T1D-09</t>
  </si>
  <si>
    <t>Thyroid Function Screening</t>
  </si>
  <si>
    <t>Order TSH to screen for autoimmune thyroiditis (high prevalence comorbidity with T1D)</t>
  </si>
  <si>
    <t>Every 1–2 years</t>
  </si>
  <si>
    <t>T1D-10</t>
  </si>
  <si>
    <t>Celiac Disease Screening</t>
  </si>
  <si>
    <t>Screen for tissue transglutaminase (tTG-IgA) in patients with GI symptoms or at diagnosis in younger patients</t>
  </si>
  <si>
    <t>At diagnosis + symptom-driven</t>
  </si>
  <si>
    <t>T1D-11</t>
  </si>
  <si>
    <t>Diabetes Distress &amp; Mental Health Screen</t>
  </si>
  <si>
    <t>Screen for diabetes distress, depression (PHQ-9), and disordered eating behaviors; T1D burnout is prevalent</t>
  </si>
  <si>
    <t>ADA Standards / CMS159v12</t>
  </si>
  <si>
    <t>T1D-12</t>
  </si>
  <si>
    <t>Foot Examination</t>
  </si>
  <si>
    <t>Perform comprehensive foot exam: monofilament, pedal pulses, skin inspection</t>
  </si>
  <si>
    <t>Inflammatory Bowel Disease (Crohn’s &amp; UC)  (K50.x / K51.x)</t>
  </si>
  <si>
    <t>IBD-01</t>
  </si>
  <si>
    <t>Inflammatory Bowel Disease (Crohn’s &amp; UC)</t>
  </si>
  <si>
    <t>Disease Activity Assessment</t>
  </si>
  <si>
    <t>Document clinical activity using validated indices: Harvey-Bradshaw Index (Crohn’s) or Partial Mayo Score (UC)</t>
  </si>
  <si>
    <t>ACG / AGA Guideline</t>
  </si>
  <si>
    <t>IBD-02</t>
  </si>
  <si>
    <t>Fecal Calprotectin Monitoring</t>
  </si>
  <si>
    <t>Order fecal calprotectin as non-invasive biomarker of mucosal inflammation; correlates with endoscopic activity</t>
  </si>
  <si>
    <t>Every 3–6 months (or per flare)</t>
  </si>
  <si>
    <t>IBD-03</t>
  </si>
  <si>
    <t>Endoscopic Surveillance (Dysplasia)</t>
  </si>
  <si>
    <t>For UC/Crohn’s colitis ≥8 years duration: schedule surveillance colonoscopy with chromoendoscopy for dysplasia</t>
  </si>
  <si>
    <t>Every 1–3 years (per risk)</t>
  </si>
  <si>
    <t>ACG CRC Screening Guideline</t>
  </si>
  <si>
    <t>IBD-04</t>
  </si>
  <si>
    <t>Biologic / Immunomodulator Monitoring</t>
  </si>
  <si>
    <t>For patients on biologics (anti-TNF, vedolizumab, ustekinumab) or thiopurines: order therapeutic drug levels and safety labs (CBC, LFTs)</t>
  </si>
  <si>
    <t>Every 3–6 months</t>
  </si>
  <si>
    <t>IBD-05</t>
  </si>
  <si>
    <t>Immunization Status Review</t>
  </si>
  <si>
    <t>Confirm influenza, pneumococcal, HBV, HPV, and COVID vaccines; administer live vaccines BEFORE starting immunosuppression</t>
  </si>
  <si>
    <t>ACG / ACIP / IDSA</t>
  </si>
  <si>
    <t>IBD-06</t>
  </si>
  <si>
    <t>Bone Density Screening</t>
  </si>
  <si>
    <t>For patients with cumulative glucocorticoid exposure (≥3 months) or malabsorption: order DXA scan</t>
  </si>
  <si>
    <t>Per glucocorticoid use / every 2 years</t>
  </si>
  <si>
    <t>ACR Osteoporosis / ACG</t>
  </si>
  <si>
    <t>IBD-07</t>
  </si>
  <si>
    <t>Nutritional Assessment (Iron, B12, D)</t>
  </si>
  <si>
    <t>Order iron studies, vitamin B12, folate, vitamin D, and albumin; Crohn’s ileal disease at high risk for deficiencies</t>
  </si>
  <si>
    <t>Every 6–12 months</t>
  </si>
  <si>
    <t>IBD-08</t>
  </si>
  <si>
    <t>Colorectal Cancer Risk Stratification</t>
  </si>
  <si>
    <t>Document CRC risk category (low/intermediate/high) based on disease extent, duration, PSC comorbidity, and family history</t>
  </si>
  <si>
    <t>At 8 years post-diagnosis</t>
  </si>
  <si>
    <t>IBD-09</t>
  </si>
  <si>
    <t>Mental Health &amp; Quality of Life Screen</t>
  </si>
  <si>
    <t>Screen for anxiety and depression (PHQ-9/GAD-7); IBD-specific QOL tools (IBDQ) recommended</t>
  </si>
  <si>
    <t>ACG / APA</t>
  </si>
  <si>
    <t>Multiple Sclerosis (MS)  (G35)</t>
  </si>
  <si>
    <t>MS-01</t>
  </si>
  <si>
    <t>Multiple Sclerosis (MS)</t>
  </si>
  <si>
    <t>Neurological Disability Assessment (EDSS)</t>
  </si>
  <si>
    <t>Document Expanded Disability Status Scale score; track longitudinally for disease progression</t>
  </si>
  <si>
    <t>AAN Guideline</t>
  </si>
  <si>
    <t>MS-02</t>
  </si>
  <si>
    <t>Relapse Frequency Documentation</t>
  </si>
  <si>
    <t>Document annualized relapse rate, date of last relapse, and recovery status; classify RRMS vs. SPMS vs. PPMS</t>
  </si>
  <si>
    <t>MS-03</t>
  </si>
  <si>
    <t>MRI Surveillance (Brain + Spine)</t>
  </si>
  <si>
    <t>Order MRI brain (and cervical spine if indicated) to monitor for new/enlarging T2 lesions and gadolinium-enhancing activity</t>
  </si>
  <si>
    <t>Every 6–12 months (annually if stable)</t>
  </si>
  <si>
    <t>AAN / MAGNIMS Guideline</t>
  </si>
  <si>
    <t>MS-04</t>
  </si>
  <si>
    <t>Disease-Modifying Therapy (DMT) Review</t>
  </si>
  <si>
    <t>Review DMT efficacy, adherence, and side effects; escalate if breakthrough disease activity (clinical or radiological)</t>
  </si>
  <si>
    <t>MS-05</t>
  </si>
  <si>
    <t>DMT Safety Lab Monitoring</t>
  </si>
  <si>
    <t>Per DMT: lymphocyte counts (fingolimod, dimethyl fumarate), LFTs (teriflunomide), JCV antibody index (natalizumab)</t>
  </si>
  <si>
    <t>Per DMT protocol (every 3–6 months)</t>
  </si>
  <si>
    <t>FDA Labels / AAN</t>
  </si>
  <si>
    <t>MS-06</t>
  </si>
  <si>
    <t>JCV Antibody Testing (if on Natalizumab)</t>
  </si>
  <si>
    <t>Order JCV antibody index every 6 months; PML risk stratification for natalizumab continuation decision</t>
  </si>
  <si>
    <t>Every 6 months</t>
  </si>
  <si>
    <t>AAN / FDA REMS</t>
  </si>
  <si>
    <t>MS-07</t>
  </si>
  <si>
    <t>Bladder &amp; Bowel Function Assessment</t>
  </si>
  <si>
    <t>Screen for neurogenic bladder (urgency, frequency, retention) and bowel dysfunction; refer for urodynamics if indicated</t>
  </si>
  <si>
    <t>MS-08</t>
  </si>
  <si>
    <t>Depression &amp; Fatigue Screening</t>
  </si>
  <si>
    <t>Screen for depression (PHQ-9) and MS-related fatigue (Modified Fatigue Impact Scale); both are highly prevalent</t>
  </si>
  <si>
    <t>AAN / CMS159v12</t>
  </si>
  <si>
    <t>MS-09</t>
  </si>
  <si>
    <t>Vaccination Review (Pre-DMT &amp; Ongoing)</t>
  </si>
  <si>
    <t>Confirm vaccines per ACIP; live vaccines contraindicated on most DMTs; VZV and HBV ideally given before DMT initiation</t>
  </si>
  <si>
    <t>At DMT start + annually</t>
  </si>
  <si>
    <t>AAN / ACIP</t>
  </si>
  <si>
    <t>Parkinson’s Disease  (G20.x)</t>
  </si>
  <si>
    <t>PD-01</t>
  </si>
  <si>
    <t>Parkinson’s Disease</t>
  </si>
  <si>
    <t>Motor Symptom Assessment (MDS-UPDRS)</t>
  </si>
  <si>
    <t>Administer MDS-Unified Parkinson’s Disease Rating Scale Parts II–III; document motor severity and fluctuations</t>
  </si>
  <si>
    <t>AAN / MDS Guideline</t>
  </si>
  <si>
    <t>PD-02</t>
  </si>
  <si>
    <t>Levodopa/Dopaminergic Therapy Optimization</t>
  </si>
  <si>
    <t>Review medication timing, wearing-off patterns, on/off fluctuations, and dyskinesias; optimize levodopa dosing intervals</t>
  </si>
  <si>
    <t>PD-03</t>
  </si>
  <si>
    <t>Non-Motor Symptom Screening (NMS-Quest)</t>
  </si>
  <si>
    <t>Screen for constipation, REM sleep behavior disorder, orthostatic hypotension, anosmia, pain, and cognitive changes</t>
  </si>
  <si>
    <t>MDS / AAN Guideline</t>
  </si>
  <si>
    <t>PD-04</t>
  </si>
  <si>
    <t>Cognitive Assessment (MoCA)</t>
  </si>
  <si>
    <t>Administer Montreal Cognitive Assessment to screen for PD-related cognitive impairment and dementia (PDD)</t>
  </si>
  <si>
    <t>PD-05</t>
  </si>
  <si>
    <t>Fall Risk &amp; Gait Assessment</t>
  </si>
  <si>
    <t>Evaluate postural instability (pull test), freezing of gait, and fall frequency; refer for PT (LSVT BIG or equivalent)</t>
  </si>
  <si>
    <t>PD-06</t>
  </si>
  <si>
    <t>Depression &amp; Anxiety Screening</t>
  </si>
  <si>
    <t>Screen for PD-related depression (GDS-15 or PHQ-9) and anxiety (GAD-7); prevalence 40–50% in PD</t>
  </si>
  <si>
    <t>AAN / MDS / CMS159v12</t>
  </si>
  <si>
    <t>PD-07</t>
  </si>
  <si>
    <t>Swallowing &amp; Speech Assessment</t>
  </si>
  <si>
    <t>Screen for dysphagia (aspiration risk) and hypophonia; refer for speech therapy (LSVT LOUD) if indicated</t>
  </si>
  <si>
    <t>PD-08</t>
  </si>
  <si>
    <t>Impulse Control Disorder Screening</t>
  </si>
  <si>
    <t>For patients on dopamine agonists: screen for pathological gambling, hypersexuality, compulsive shopping, and binge eating</t>
  </si>
  <si>
    <t>Every visit (if on DA agonist)</t>
  </si>
  <si>
    <t>PD-09</t>
  </si>
  <si>
    <t>Orthostatic Hypotension Assessment</t>
  </si>
  <si>
    <t>Measure lying and standing BP (1 min and 3 min); document if drop ≥20/10 mmHg; adjust medications accordingly</t>
  </si>
  <si>
    <t>AAN / Autonomic Guideline</t>
  </si>
  <si>
    <t>PD-10</t>
  </si>
  <si>
    <t>Advance Care Planning &amp; Palliative Referral</t>
  </si>
  <si>
    <t>Document goals of care and advance directives; consider palliative care referral for advanced disease stages</t>
  </si>
  <si>
    <t>Annually (or at stage progression)</t>
  </si>
  <si>
    <t>AAN / ACP Guideline</t>
  </si>
  <si>
    <t>Psoriasis / Psoriatic Arthritis  (L40.x / M07.3)</t>
  </si>
  <si>
    <t>PSO-01</t>
  </si>
  <si>
    <t>Psoriasis / Psoriatic Arthritis</t>
  </si>
  <si>
    <t>Disease Severity Assessment (BSA / PASI)</t>
  </si>
  <si>
    <t>Document Body Surface Area and/or Psoriasis Area and Severity Index score; classify mild (&lt;3% BSA), moderate (3–10%), severe (&gt;10%)</t>
  </si>
  <si>
    <t>AAD / NPF Guideline</t>
  </si>
  <si>
    <t>PSO-02</t>
  </si>
  <si>
    <t>Joint Assessment (if PsA)</t>
  </si>
  <si>
    <t>For psoriatic arthritis: document tender/swollen joint count, dactylitis, enthesitis; calculate DAPSA or MDA score</t>
  </si>
  <si>
    <t>Every visit (if PsA)</t>
  </si>
  <si>
    <t>ACR / GRAPPA Guideline</t>
  </si>
  <si>
    <t>PSO-03</t>
  </si>
  <si>
    <t>Biologic / Systemic Therapy Monitoring</t>
  </si>
  <si>
    <t>For patients on biologics (IL-17, IL-23, TNF inhibitors) or methotrexate: order CBC, LFTs, and infection screening labs</t>
  </si>
  <si>
    <t>AAD / ACR Guideline</t>
  </si>
  <si>
    <t>PSO-04</t>
  </si>
  <si>
    <t>TB Screening (Pre-Biologic)</t>
  </si>
  <si>
    <t>Order QuantiFERON-TB Gold or PPD before initiating biologic therapy; repeat annually if ongoing risk</t>
  </si>
  <si>
    <t>Before biologic + annually if risk</t>
  </si>
  <si>
    <t>AAD / CDC</t>
  </si>
  <si>
    <t>PSO-05</t>
  </si>
  <si>
    <t>Cardiovascular Risk Assessment</t>
  </si>
  <si>
    <t>Assess ASCVD risk; severe psoriasis confers independent CV risk (1.5–2x); manage lipids and BP aggressively</t>
  </si>
  <si>
    <t>AAD / ACC/AHA</t>
  </si>
  <si>
    <t>PSO-06</t>
  </si>
  <si>
    <t>Metabolic Syndrome Screening</t>
  </si>
  <si>
    <t>Order fasting glucose/HbA1c and lipid panel; psoriasis is associated with insulin resistance, obesity, and NAFLD</t>
  </si>
  <si>
    <t>PSO-07</t>
  </si>
  <si>
    <t>Mental Health Screening</t>
  </si>
  <si>
    <t>Screen for depression (PHQ-9), anxiety, and body image distress; psoriasis has significant psychosocial impact</t>
  </si>
  <si>
    <t>AAD / APA / CMS159v12</t>
  </si>
  <si>
    <t>PSO-08</t>
  </si>
  <si>
    <t>Hepatic Monitoring (if on Methotrexate)</t>
  </si>
  <si>
    <t>For MTX patients: order CBC, AST/ALT, and albumin regularly; FIB-4 or elastography for cumulative dose assessment</t>
  </si>
  <si>
    <t>Every 3 months (MTX)</t>
  </si>
  <si>
    <t>Chronic Hepatitis B  (B18.1)</t>
  </si>
  <si>
    <t>HBV-01</t>
  </si>
  <si>
    <t>Chronic Hepatitis B</t>
  </si>
  <si>
    <t>HBV DNA Viral Load</t>
  </si>
  <si>
    <t>Order quantitative HBV DNA to assess viral replication and guide treatment decisions</t>
  </si>
  <si>
    <t>Every 3–6 months (on treatment); every 6–12 months (monitoring)</t>
  </si>
  <si>
    <t>AASLD HBV Guideline</t>
  </si>
  <si>
    <t>HBV-02</t>
  </si>
  <si>
    <t>ALT Monitoring</t>
  </si>
  <si>
    <t>Order ALT level; persistent elevation &gt;2x ULN with active viremia is a treatment indication</t>
  </si>
  <si>
    <t>HBV-03</t>
  </si>
  <si>
    <t>HBeAg / Anti-HBe Status</t>
  </si>
  <si>
    <t>Document HBeAg and anti-HBe to classify disease phase (immune tolerant, immune active, inactive carrier, reactivation)</t>
  </si>
  <si>
    <t>HBV-04</t>
  </si>
  <si>
    <t>Antiviral Therapy Review</t>
  </si>
  <si>
    <t>For patients on entecavir or tenofovir: confirm adherence, assess HBV DNA suppression, and monitor renal/bone safety</t>
  </si>
  <si>
    <t>HBV-05</t>
  </si>
  <si>
    <t>HCC Surveillance</t>
  </si>
  <si>
    <t>For patients with cirrhosis, or Asian males &gt;40, Asian females &gt;50, African/African Americans &gt;20, or family history of HCC: order abdominal ultrasound ± AFP every 6 months</t>
  </si>
  <si>
    <t>AASLD HCC Guideline</t>
  </si>
  <si>
    <t>HBV-06</t>
  </si>
  <si>
    <t>Liver Fibrosis Assessment</t>
  </si>
  <si>
    <t>Calculate FIB-4 score or order elastography (FibroScan); determines treatment urgency and surveillance intensity</t>
  </si>
  <si>
    <t>HBV-07</t>
  </si>
  <si>
    <t>Hepatitis A Vaccination</t>
  </si>
  <si>
    <t>Confirm HAV immunity; vaccinate if non-immune to prevent HAV superinfection in chronic HBV</t>
  </si>
  <si>
    <t>At diagnosis</t>
  </si>
  <si>
    <t>AASLD / ACIP</t>
  </si>
  <si>
    <t>HBV-08</t>
  </si>
  <si>
    <t>Hepatitis D Co-Infection Screening</t>
  </si>
  <si>
    <t>Order anti-HDV antibody at least once to rule out delta hepatitis co-infection, which accelerates liver damage</t>
  </si>
  <si>
    <t>At diagnosis (once)</t>
  </si>
  <si>
    <t>HBV-09</t>
  </si>
  <si>
    <t>Family &amp; Sexual Contact Screening</t>
  </si>
  <si>
    <t>Screen household members and sexual partners for HBsAg and anti-HBs; vaccinate susceptible contacts</t>
  </si>
  <si>
    <t>At diagnosis + ongoing</t>
  </si>
  <si>
    <t>AASLD / CDC</t>
  </si>
  <si>
    <t>Pulmonary Arterial Hypertension (PAH)  (I27.0 / I27.2x)</t>
  </si>
  <si>
    <t>PAH-01</t>
  </si>
  <si>
    <t>Pulmonary Arterial Hypertension (PAH)</t>
  </si>
  <si>
    <t>Functional Class Assessment (WHO FC)</t>
  </si>
  <si>
    <t>Document WHO Functional Class (I–IV) at every visit; correlates with prognosis and guides treatment escalation</t>
  </si>
  <si>
    <t>ESC/ERS / CHEST Guideline</t>
  </si>
  <si>
    <t>PAH-02</t>
  </si>
  <si>
    <t>6-Minute Walk Test (6MWT)</t>
  </si>
  <si>
    <t>Perform 6-minute walk distance; document meters walked, Borg dyspnea score, and SpO2 nadir</t>
  </si>
  <si>
    <t>ESC/ERS Guideline</t>
  </si>
  <si>
    <t>PAH-03</t>
  </si>
  <si>
    <t>NT-proBNP / BNP Monitoring</t>
  </si>
  <si>
    <t>Order NT-proBNP or BNP as biomarker of right ventricular strain; trend over time for treatment response</t>
  </si>
  <si>
    <t>PAH-04</t>
  </si>
  <si>
    <t>Echocardiogram (RV Function)</t>
  </si>
  <si>
    <t>Order transthoracic echo to assess RVSP, TAPSE, RV dilation, and pericardial effusion; track RV remodeling</t>
  </si>
  <si>
    <t>PAH-05</t>
  </si>
  <si>
    <t>PAH-Targeted Therapy Review</t>
  </si>
  <si>
    <t>Review combination therapy: PDE5i (sildenafil/tadalafil), ERA (ambrisentan/macitentan), prostacyclin pathway (selexipag, treprostinil); escalate per risk stratification</t>
  </si>
  <si>
    <t>PAH-06</t>
  </si>
  <si>
    <t>Right Heart Catheterization (Follow-up)</t>
  </si>
  <si>
    <t>For treatment-refractory or worsening patients: repeat RHC to confirm hemodynamics and guide escalation or transplant referral</t>
  </si>
  <si>
    <t>As clinically indicated</t>
  </si>
  <si>
    <t>PAH-07</t>
  </si>
  <si>
    <t>Hepatic &amp; Renal Function Monitoring</t>
  </si>
  <si>
    <t>Order LFTs (ERA hepatotoxicity) and BMP/eGFR; monitor for right heart failure–related hepatic congestion and cardiorenal syndrome</t>
  </si>
  <si>
    <t>ESC/ERS / FDA Labels</t>
  </si>
  <si>
    <t>PAH-08</t>
  </si>
  <si>
    <t>Pregnancy Counseling &amp; Contraception</t>
  </si>
  <si>
    <t>Document that pregnancy is contraindicated in PAH (maternal mortality 30–50%); confirm effective contraception in reproductive-age women; bosentan reduces OC efficacy</t>
  </si>
  <si>
    <t>Annually (reproductive-age women)</t>
  </si>
  <si>
    <t>Iron Deficiency Anemia / Anemia of Chronic Disease  (D50.x / D63.x)</t>
  </si>
  <si>
    <t>ANEM-01</t>
  </si>
  <si>
    <t>Iron Deficiency Anemia / Anemia of Chronic Disease</t>
  </si>
  <si>
    <t>CBC with Reticulocyte Count</t>
  </si>
  <si>
    <t>Order CBC with RBC indices (MCV, MCH, MCHC, RDW) and reticulocyte count to classify anemia type</t>
  </si>
  <si>
    <t>Every 3–6 months (until stable)</t>
  </si>
  <si>
    <t>ASH / ACP Guideline</t>
  </si>
  <si>
    <t>ANEM-02</t>
  </si>
  <si>
    <t>Iron Studies Panel</t>
  </si>
  <si>
    <t>Order serum ferritin, serum iron, TIBC, and transferrin saturation (TSAT); ferritin &lt;30 confirms IDA; ferritin 30–100 with low TSAT suggests mixed</t>
  </si>
  <si>
    <t>ASH Guideline</t>
  </si>
  <si>
    <t>ANEM-03</t>
  </si>
  <si>
    <t>Iron Replacement Therapy</t>
  </si>
  <si>
    <t>For confirmed IDA: prescribe oral iron (ferrous sulfate 325mg TID) or IV iron (ferric carboxymaltose, iron sucrose) if oral-intolerant or CKD</t>
  </si>
  <si>
    <t>Per protocol until replete</t>
  </si>
  <si>
    <t>ASH / KDIGO</t>
  </si>
  <si>
    <t>ANEM-04</t>
  </si>
  <si>
    <t>Treatment Response Assessment</t>
  </si>
  <si>
    <t>Check Hgb and ferritin 4–8 weeks after initiating iron; expect Hgb rise of 1–2 g/dL; if no response, evaluate for ongoing loss or malabsorption</t>
  </si>
  <si>
    <t>4–8 weeks post-initiation</t>
  </si>
  <si>
    <t>ANEM-05</t>
  </si>
  <si>
    <t>GI Evaluation for Occult Blood Loss</t>
  </si>
  <si>
    <t>For unexplained IDA in men and postmenopausal women: order fecal immunochemical test (FIT) and/or refer for EGD + colonoscopy to rule out GI malignancy</t>
  </si>
  <si>
    <t>ACG / USPSTF</t>
  </si>
  <si>
    <t>ANEM-06</t>
  </si>
  <si>
    <t>Underlying Cause Assessment</t>
  </si>
  <si>
    <t>Evaluate for contributing causes: celiac disease (tTG-IgA), H. pylori, menorrhagia, CKD (eGFR), chronic inflammation (CRP, ESR)</t>
  </si>
  <si>
    <t>ANEM-07</t>
  </si>
  <si>
    <t>B12 &amp; Folate Level Check</t>
  </si>
  <si>
    <t>Order vitamin B12 and folate to rule out concurrent megaloblastic anemia; especially if macrocytic or mixed picture</t>
  </si>
  <si>
    <t>Familial / Severe Hyperlipidemia  (E78.x)</t>
  </si>
  <si>
    <t>LIPID-01</t>
  </si>
  <si>
    <t>Familial / Severe Hyperlipidemia</t>
  </si>
  <si>
    <t>Fasting Lipid Panel</t>
  </si>
  <si>
    <t>Order fasting lipid panel: total cholesterol, LDL-C (direct if TG &gt;400), HDL-C, triglycerides, and non-HDL-C</t>
  </si>
  <si>
    <t>Every 3–6 months (titrating); annually (at goal)</t>
  </si>
  <si>
    <t>CMS347v7 / ACC/AHA</t>
  </si>
  <si>
    <t>LIPID-02</t>
  </si>
  <si>
    <t>LDL-C Goal Assessment</t>
  </si>
  <si>
    <t>Document LDL-C target per risk: &lt;70 for ASCVD/high-risk; &lt;100 for moderate risk; &lt;55 for very high-risk (FH with ASCVD)</t>
  </si>
  <si>
    <t>Every visit during titration</t>
  </si>
  <si>
    <t>ACC/AHA / NLA Guideline</t>
  </si>
  <si>
    <t>LIPID-03</t>
  </si>
  <si>
    <t>Statin Therapy Optimization</t>
  </si>
  <si>
    <t>Confirm maximum tolerated statin dose; document statin intensity (high: atorvastatin 40–80, rosuvastatin 20–40)</t>
  </si>
  <si>
    <t>LIPID-04</t>
  </si>
  <si>
    <t>Non-Statin LDL-Lowering Therapy</t>
  </si>
  <si>
    <t>If LDL not at goal on max statin: add ezetimibe first, then PCSK9 inhibitor (evolocumab, alirocumab), or bempedoic acid</t>
  </si>
  <si>
    <t>Per titration schedule</t>
  </si>
  <si>
    <t>ACC/AHA / NLA Expert Consensus</t>
  </si>
  <si>
    <t>LIPID-05</t>
  </si>
  <si>
    <t>ASCVD 10-Year Risk Calculation</t>
  </si>
  <si>
    <t>Calculate 10-year ASCVD risk using Pooled Cohort Equations; for FH patients, risk may be underestimated—use clinical judgment</t>
  </si>
  <si>
    <t>Every 4–6 years (or annually if borderline)</t>
  </si>
  <si>
    <t>ACC/AHA Guideline</t>
  </si>
  <si>
    <t>LIPID-06</t>
  </si>
  <si>
    <t>Familial Hypercholesterolemia Screening</t>
  </si>
  <si>
    <t>For LDL ≥190 or clinical suspicion: calculate Dutch Lipid Clinic Network Score; consider genetic testing for LDLR/APOB/PCSK9 mutations</t>
  </si>
  <si>
    <t>NLA / FH Foundation</t>
  </si>
  <si>
    <t>LIPID-07</t>
  </si>
  <si>
    <t>Hepatic Safety Monitoring</t>
  </si>
  <si>
    <t>Order ALT at baseline and as clinically indicated on statins; for PCSK9i or bempedoic acid, per FDA labeling</t>
  </si>
  <si>
    <t>At baseline + as indicated</t>
  </si>
  <si>
    <t>ACC/AHA / FDA</t>
  </si>
  <si>
    <t>LIPID-08</t>
  </si>
  <si>
    <t>Statin-Associated Muscle Symptoms (SAMS) Assessment</t>
  </si>
  <si>
    <t>Document SAMS Clinical Index score if myalgia reported; rechallenge with alternate statin or lower dose before declaring intolerance</t>
  </si>
  <si>
    <t>As reported</t>
  </si>
  <si>
    <t>ACC/AHA / NLA</t>
  </si>
  <si>
    <t>LIPID-09</t>
  </si>
  <si>
    <t>Lipoprotein(a) Testing</t>
  </si>
  <si>
    <t>Order Lp(a) at least once for patients with premature ASCVD, FH, or recurrent events despite LDL at goal; Lp(a) ≥50 nmol/L = elevated</t>
  </si>
  <si>
    <t>Once (lifetime)</t>
  </si>
  <si>
    <t>ACC/AHA / EAS Consensus</t>
  </si>
  <si>
    <t>Post-Traumatic Stress Disorder (PTSD)  (F43.1x)</t>
  </si>
  <si>
    <t>PTSD-01</t>
  </si>
  <si>
    <t>Post-Traumatic Stress Disorder (PTSD)</t>
  </si>
  <si>
    <t>PTSD Symptom Assessment (PCL-5)</t>
  </si>
  <si>
    <t>Administer PTSD Checklist for DSM-5 (PCL-5); document total score (clinical cutoff ≥31–33); track longitudinally</t>
  </si>
  <si>
    <t>Every visit (minimum quarterly)</t>
  </si>
  <si>
    <t>VA/DoD CPG / APA</t>
  </si>
  <si>
    <t>PTSD-02</t>
  </si>
  <si>
    <t>Trauma-Focused Psychotherapy Engagement</t>
  </si>
  <si>
    <t>Document referral to or engagement in evidence-based trauma therapy: CPT (Cognitive Processing Therapy) or PE (Prolonged Exposure)</t>
  </si>
  <si>
    <t>PTSD-03</t>
  </si>
  <si>
    <t>Pharmacotherapy Management</t>
  </si>
  <si>
    <t>Review first-line SSRI/SNRI (sertraline, paroxetine, venlafaxine); document dose optimization and response</t>
  </si>
  <si>
    <t>PTSD-04</t>
  </si>
  <si>
    <t>Prazosin / Sleep Disturbance Assessment</t>
  </si>
  <si>
    <t>For trauma-related nightmares: document sleep quality and consider prazosin trial; screen for comorbid OSA</t>
  </si>
  <si>
    <t>VA/DoD CPG</t>
  </si>
  <si>
    <t>PTSD-05</t>
  </si>
  <si>
    <t>Comorbid Substance Use Screening</t>
  </si>
  <si>
    <t>Screen for alcohol (AUDIT-C) and substance use (DAST-10); PTSD-SUD comorbidity rate is 40–60%</t>
  </si>
  <si>
    <t>VA/DoD CPG / SAMHSA</t>
  </si>
  <si>
    <t>PTSD-06</t>
  </si>
  <si>
    <t>Suicide Risk Assessment</t>
  </si>
  <si>
    <t>Screen for suicidal ideation (C-SSRS or PHQ-9 Item 9); PTSD significantly elevates suicide risk; document safety plan</t>
  </si>
  <si>
    <t>VA/DoD CPG / Joint Commission</t>
  </si>
  <si>
    <t>PTSD-07</t>
  </si>
  <si>
    <t>Comorbid Depression/Anxiety Screening</t>
  </si>
  <si>
    <t>Administer PHQ-9 and GAD-7; PTSD, MDD, and GAD frequently co-occur and require integrated treatment</t>
  </si>
  <si>
    <t>CMS159v12 / VA/DoD CPG</t>
  </si>
  <si>
    <t>PTSD-08</t>
  </si>
  <si>
    <t>Functional &amp; Occupational Assessment</t>
  </si>
  <si>
    <t>Document impact on work capacity, social relationships, daily functioning, and quality of life</t>
  </si>
  <si>
    <t>Bipolar Disorder  (F31.x)</t>
  </si>
  <si>
    <t>BP-01</t>
  </si>
  <si>
    <t>Bipolar Disorder</t>
  </si>
  <si>
    <t>Mood Episode Assessment</t>
  </si>
  <si>
    <t>Document current mood state (depressive, manic, hypomanic, mixed, euthymic) using clinical interview and mood charting</t>
  </si>
  <si>
    <t>APA Guideline</t>
  </si>
  <si>
    <t>BP-02</t>
  </si>
  <si>
    <t>Mood Stabilizer / Atypical Antipsychotic Review</t>
  </si>
  <si>
    <t>Review lithium, valproate, lamotrigine, or atypical antipsychotic therapy; assess efficacy for current phase and maintenance</t>
  </si>
  <si>
    <t>APA / CANMAT Guideline</t>
  </si>
  <si>
    <t>BP-03</t>
  </si>
  <si>
    <t>Lithium Level &amp; Safety Labs</t>
  </si>
  <si>
    <t>For lithium patients: order serum lithium level (target 0.6–1.0 mEq/L maintenance), TSH, creatinine/eGFR, and calcium</t>
  </si>
  <si>
    <t>BP-04</t>
  </si>
  <si>
    <t>Valproate Level &amp; Safety Labs</t>
  </si>
  <si>
    <t>For valproate patients: order serum valproate level (50–125 mcg/mL), CBC with platelets, LFTs, and ammonia if symptomatic</t>
  </si>
  <si>
    <t>BP-05</t>
  </si>
  <si>
    <t>Metabolic Monitoring (Atypical Antipsychotics)</t>
  </si>
  <si>
    <t>For SGAs (quetiapine, olanzapine, aripiprazole): order fasting glucose, HbA1c, lipid panel, weight, and waist circumference</t>
  </si>
  <si>
    <t>Every 3–12 months per ADA/APA</t>
  </si>
  <si>
    <t>ADA/APA Metabolic Monitoring</t>
  </si>
  <si>
    <t>BP-06</t>
  </si>
  <si>
    <t>Screen for suicidal ideation at every visit; bipolar disorder carries 15–20x suicide risk vs. general population; document safety plan</t>
  </si>
  <si>
    <t>APA / Joint Commission</t>
  </si>
  <si>
    <t>BP-07</t>
  </si>
  <si>
    <t>Substance Use Screening</t>
  </si>
  <si>
    <t>Screen for alcohol and drug use; bipolar-SUD comorbidity rate is 40–70%; integrated treatment essential</t>
  </si>
  <si>
    <t>APA / SAMHSA</t>
  </si>
  <si>
    <t>BP-08</t>
  </si>
  <si>
    <t>Women’s Health: Contraception &amp; Pregnancy Planning</t>
  </si>
  <si>
    <t>For reproductive-age women: document contraceptive counseling (valproate is teratogenic Category X); pre-conception mood stabilizer transition planning</t>
  </si>
  <si>
    <t>APA / ACOG Guideline</t>
  </si>
  <si>
    <t>BP-09</t>
  </si>
  <si>
    <t>Functional &amp; Cognitive Assessment</t>
  </si>
  <si>
    <t>Document psychosocial functioning, occupational status, and screen for cognitive deficits (common in bipolar, especially with frequent episodes)</t>
  </si>
  <si>
    <t>Tobacco Use Disorder  (F17.2x / Z87.891)</t>
  </si>
  <si>
    <t>TOB-01</t>
  </si>
  <si>
    <t>Tobacco Use Disorder</t>
  </si>
  <si>
    <t>Tobacco Use Status Documentation</t>
  </si>
  <si>
    <t>Document current tobacco use type (cigarettes, e-cigarettes, smokeless), quantity (pack-years), and quit history</t>
  </si>
  <si>
    <t>CMS138v12 / NQF 0028</t>
  </si>
  <si>
    <t>TOB-02</t>
  </si>
  <si>
    <t>Cessation Counseling (5 A’s)</t>
  </si>
  <si>
    <t>Deliver the 5 A’s intervention: Ask, Advise, Assess readiness, Assist with quit plan, Arrange follow-up</t>
  </si>
  <si>
    <t>CMS138v12 / USPSTF</t>
  </si>
  <si>
    <t>TOB-03</t>
  </si>
  <si>
    <t>Pharmacotherapy for Cessation</t>
  </si>
  <si>
    <t>For patients ready to quit: prescribe first-line pharmacotherapy—varenicline (preferred), combination NRT (patch + gum/lozenge), or bupropion</t>
  </si>
  <si>
    <t>At quit attempt</t>
  </si>
  <si>
    <t>USPSTF / PHS Guideline</t>
  </si>
  <si>
    <t>TOB-04</t>
  </si>
  <si>
    <t>Quit Date &amp; Follow-Up Plan</t>
  </si>
  <si>
    <t>Document target quit date; schedule follow-up within 1 week and again at 1 month; relapse prevention counseling</t>
  </si>
  <si>
    <t>Per quit attempt</t>
  </si>
  <si>
    <t>PHS Clinical Practice Guideline</t>
  </si>
  <si>
    <t>TOB-05</t>
  </si>
  <si>
    <t>Quitline / Behavioral Support Referral</t>
  </si>
  <si>
    <t>Refer to state tobacco quitline (1-800-QUIT-NOW) or digital cessation program; document referral</t>
  </si>
  <si>
    <t>PHS Guideline / CMS</t>
  </si>
  <si>
    <t>TOB-06</t>
  </si>
  <si>
    <t>Lung Cancer Screening (LDCT)</t>
  </si>
  <si>
    <t>For patients aged 50–80 with ≥20 pack-year history (current or quit &lt;15 years): order annual low-dose CT chest</t>
  </si>
  <si>
    <t>Annually (if eligible)</t>
  </si>
  <si>
    <t>CMS / USPSTF Grade B</t>
  </si>
  <si>
    <t>TOB-07</t>
  </si>
  <si>
    <t>Comorbid Condition Impact Assessment</t>
  </si>
  <si>
    <t>Document how tobacco use is impacting other chronic conditions: COPD, CAD, PAD, diabetes, wound healing, cancer risk</t>
  </si>
  <si>
    <t>CMS / Multi-guideline</t>
  </si>
  <si>
    <t>Alcohol Use Disorder (AUD)  (F10.x)</t>
  </si>
  <si>
    <t>AUD-01</t>
  </si>
  <si>
    <t>Alcohol Use Disorder (AUD)</t>
  </si>
  <si>
    <t>AUDIT-C / AUDIT Screening</t>
  </si>
  <si>
    <t>Administer AUDIT-C (score ≥4 men, ≥3 women = positive) or full AUDIT (≥8 = hazardous); document severity</t>
  </si>
  <si>
    <t>Annually (every visit if AUD)</t>
  </si>
  <si>
    <t>AUD-02</t>
  </si>
  <si>
    <t>Brief Intervention &amp; Motivational Counseling</t>
  </si>
  <si>
    <t>For positive screen: deliver brief motivational intervention (SBIRT model); document readiness to change</t>
  </si>
  <si>
    <t>USPSTF / SAMHSA</t>
  </si>
  <si>
    <t>AUD-03</t>
  </si>
  <si>
    <t>Pharmacotherapy for AUD</t>
  </si>
  <si>
    <t>For moderate-severe AUD: discuss FDA-approved medications—naltrexone (oral or injectable), acamprosate, or disulfiram</t>
  </si>
  <si>
    <t>APA / SAMHSA / VA/DoD</t>
  </si>
  <si>
    <t>AUD-04</t>
  </si>
  <si>
    <t>Hepatic Function Monitoring</t>
  </si>
  <si>
    <t>Order hepatic panel (AST, ALT, GGT, albumin, bilirubin); GGT and AST:ALT ratio &gt;2 suggest alcoholic liver injury</t>
  </si>
  <si>
    <t>AASLD / APA</t>
  </si>
  <si>
    <t>AUD-05</t>
  </si>
  <si>
    <t>Nutritional Deficiency Assessment</t>
  </si>
  <si>
    <t>Order thiamine (B1), folate, B12, magnesium, and phosphorus; thiamine supplementation critical to prevent Wernicke’s encephalopathy</t>
  </si>
  <si>
    <t>At diagnosis + every 6 months</t>
  </si>
  <si>
    <t>APA / ASAM Guideline</t>
  </si>
  <si>
    <t>AUD-06</t>
  </si>
  <si>
    <t>Mental Health Comorbidity Screening</t>
  </si>
  <si>
    <t>Screen for depression (PHQ-9), anxiety (GAD-7), PTSD (PC-PTSD-5), and other substance use; AUD-psychiatric comorbidity is &gt;50%</t>
  </si>
  <si>
    <t>APA / SAMHSA / CMS159v12</t>
  </si>
  <si>
    <t>AUD-07</t>
  </si>
  <si>
    <t>CIWA-Ar Withdrawal Risk Assessment</t>
  </si>
  <si>
    <t>For patients reducing or stopping heavy use: assess withdrawal risk using CIWA-Ar; medical detox if score ≥10 or seizure history</t>
  </si>
  <si>
    <t>At acute presentation</t>
  </si>
  <si>
    <t>ASAM / APA Guideline</t>
  </si>
  <si>
    <t>AUD-08</t>
  </si>
  <si>
    <t>Peer Support &amp; Recovery Program Referral</t>
  </si>
  <si>
    <t>Document referral to mutual aid (AA/SMART Recovery), peer recovery support, or intensive outpatient program (IOP)</t>
  </si>
  <si>
    <t>SAMHSA / APA</t>
  </si>
  <si>
    <t>Venous Thromboembolism (VTE) – Chronic Anticoagulation  (I26.x / I82.x)</t>
  </si>
  <si>
    <t>VTE-01</t>
  </si>
  <si>
    <t>Venous Thromboembolism (VTE) – Chronic Anticoagulation</t>
  </si>
  <si>
    <t>Anticoagulation Therapy Documentation</t>
  </si>
  <si>
    <t>Document current anticoagulant (DOAC preferred: rivaroxaban, apixaban; or warfarin if APS/mechanical valve); confirm duration plan (3–6 months vs. indefinite)</t>
  </si>
  <si>
    <t>At diagnosis + every visit</t>
  </si>
  <si>
    <t>ASH / CHEST Guideline</t>
  </si>
  <si>
    <t>VTE-02</t>
  </si>
  <si>
    <t>Duration of Therapy Decision</t>
  </si>
  <si>
    <t>For unprovoked VTE: assess extended anticoagulation vs. discontinuation using HERDOO2 (women) or VTE-BLEED score; document shared decision</t>
  </si>
  <si>
    <t>At 3–6 months + annually</t>
  </si>
  <si>
    <t>VTE-03</t>
  </si>
  <si>
    <t>INR Monitoring (if on Warfarin)</t>
  </si>
  <si>
    <t>For warfarin patients: order INR; target 2.0–3.0 (or 2.5–3.5 for APS); calculate time in therapeutic range (TTR target &gt;70%)</t>
  </si>
  <si>
    <t>Every 1–4 weeks</t>
  </si>
  <si>
    <t>CHEST Guideline</t>
  </si>
  <si>
    <t>VTE-04</t>
  </si>
  <si>
    <t>Renal Function for DOAC Dosing</t>
  </si>
  <si>
    <t>Order BMP/eGFR to guide DOAC dosing: apixaban dose reduction if eGFR 15–29 or age ≥80 + weight ≤60kg + Cr ≥1.5; rivaroxaban avoid if eGFR &lt;30</t>
  </si>
  <si>
    <t>CHEST / FDA Labeling</t>
  </si>
  <si>
    <t>VTE-05</t>
  </si>
  <si>
    <t>Bleeding Risk Assessment</t>
  </si>
  <si>
    <t>Calculate and document HAS-BLED score or VTE-BLEED; identify and address modifiable bleeding risk factors (uncontrolled HTN, concurrent antiplatelet, alcohol)</t>
  </si>
  <si>
    <t>CHEST / ASH Guideline</t>
  </si>
  <si>
    <t>VTE-06</t>
  </si>
  <si>
    <t>Post-Thrombotic Syndrome (PTS) Screening</t>
  </si>
  <si>
    <t>For DVT patients: assess for PTS symptoms (leg swelling, pain, skin changes) using Villalta score at 3–6 months and annually</t>
  </si>
  <si>
    <t>ASH / ISTH Guideline</t>
  </si>
  <si>
    <t>VTE-07</t>
  </si>
  <si>
    <t>Thrombophilia Testing (if Indicated)</t>
  </si>
  <si>
    <t>For unprovoked VTE in patients &lt;50 or strong family history: consider antiphospholipid antibodies, factor V Leiden, prothrombin mutation; do NOT test on anticoagulation</t>
  </si>
  <si>
    <t>Once (off anticoagulation)</t>
  </si>
  <si>
    <t>VTE-08</t>
  </si>
  <si>
    <t>Compression Therapy Assessment (DVT)</t>
  </si>
  <si>
    <t>For proximal DVT patients with PTS symptoms: assess for graduated compression stockings (20–30 mmHg); evidence evolving</t>
  </si>
  <si>
    <t>At diagnosis + annually</t>
  </si>
  <si>
    <t>ASH / ISTH</t>
  </si>
  <si>
    <t>Chronic Wound Management (Diabetic, Venous, Pressure)  (L97.x / L89.x / E11.621)</t>
  </si>
  <si>
    <t>WND-01</t>
  </si>
  <si>
    <t>Chronic Wound Management (Diabetic, Venous, Pressure)</t>
  </si>
  <si>
    <t>Wound Assessment &amp; Documentation</t>
  </si>
  <si>
    <t>Measure and document wound dimensions (length × width × depth), location, wound bed (granulation, slough, necrotic), edges, periwound skin, and photograph</t>
  </si>
  <si>
    <t>Every visit (weekly during active tx)</t>
  </si>
  <si>
    <t>WHS / WOCN Guideline</t>
  </si>
  <si>
    <t>WND-02</t>
  </si>
  <si>
    <t>Wound Etiology Classification</t>
  </si>
  <si>
    <t>Classify wound type: neuropathic/diabetic foot ulcer (DFU), venous leg ulcer (VLU), arterial ulcer, or pressure injury; stage pressure injuries per NPUAP</t>
  </si>
  <si>
    <t>At initial assessment</t>
  </si>
  <si>
    <t>WHS / NPUAP / SVS</t>
  </si>
  <si>
    <t>WND-03</t>
  </si>
  <si>
    <t>Vascular Assessment (ABI / Duplex)</t>
  </si>
  <si>
    <t>For lower extremity wounds: order ABI to rule out arterial insufficiency (ABI &lt;0.9 = PAD; &gt;1.3 = calcification); venous duplex if suspected VLU</t>
  </si>
  <si>
    <t>SVS / WHS Guideline</t>
  </si>
  <si>
    <t>WND-04</t>
  </si>
  <si>
    <t>Infection Surveillance &amp; Culture</t>
  </si>
  <si>
    <t>Assess for clinical signs of infection (erythema, warmth, purulence, odor); obtain tissue culture (not swab) if infection suspected; avoid routine antibiotics</t>
  </si>
  <si>
    <t>IDSA DFI Guideline / WHS</t>
  </si>
  <si>
    <t>WND-05</t>
  </si>
  <si>
    <t>Offloading Device (DFU)</t>
  </si>
  <si>
    <t>For plantar diabetic foot ulcers: prescribe total contact cast (TCC) or irremovable knee-high walker as gold standard offloading</t>
  </si>
  <si>
    <t>IWGDF Guideline</t>
  </si>
  <si>
    <t>WND-06</t>
  </si>
  <si>
    <t>Compression Therapy (VLU)</t>
  </si>
  <si>
    <t>For venous leg ulcers with ABI ≥0.8: prescribe multi-layer compression bandaging or compression wraps (30–40 mmHg); critical for healing</t>
  </si>
  <si>
    <t>WND-07</t>
  </si>
  <si>
    <t>Glycemic Optimization (DFU)</t>
  </si>
  <si>
    <t>For diabetic wound patients: assess HbA1c and optimize glycemic control; target HbA1c &lt;8% during active wound healing (avoid hypoglycemia)</t>
  </si>
  <si>
    <t>Every 3 months</t>
  </si>
  <si>
    <t>ADA / IWGDF</t>
  </si>
  <si>
    <t>WND-08</t>
  </si>
  <si>
    <t>Nutritional Status Assessment</t>
  </si>
  <si>
    <t>Order prealbumin, albumin, and assess caloric/protein intake; malnutrition significantly impairs wound healing; supplement as needed</t>
  </si>
  <si>
    <t>At initial assessment + monthly</t>
  </si>
  <si>
    <t>WHS / NPUAP</t>
  </si>
  <si>
    <t>WND-09</t>
  </si>
  <si>
    <t>Advanced Therapy Consideration</t>
  </si>
  <si>
    <t>For wounds not progressing (≥40% reduction in 4 weeks): document consideration of advanced therapies: NPWT, skin substitutes, hyperbaric oxygen</t>
  </si>
  <si>
    <t>At 4-week reassessment</t>
  </si>
  <si>
    <t>WHS / CMS Coverage</t>
  </si>
  <si>
    <t>#</t>
  </si>
  <si>
    <t>Chronic Condition</t>
  </si>
  <si>
    <t>ICD-10 Range</t>
  </si>
  <si>
    <t>Key eCQM / Guideline References</t>
  </si>
  <si>
    <t>Cross-Condition Overlaps (1–45)</t>
  </si>
  <si>
    <t>E10.x</t>
  </si>
  <si>
    <t>CMS122v12, ADA Standards, CMS131v12, CMS134v12...</t>
  </si>
  <si>
    <t>DM (#1: retinal, nephropathy, foot, BP, statin), Hypothyroid (#15: TSH), MDD (#9: PHQ-9)</t>
  </si>
  <si>
    <t>K50.x / K51.x</t>
  </si>
  <si>
    <t>ACG, ACG CRC Screening Guideline, ACR Osteoporosis</t>
  </si>
  <si>
    <t>CLD (#12: hepatitis screen), Osteo (#10: bone/DXA), MDD/GAD (#9/#30: mental health), CRC screening shared</t>
  </si>
  <si>
    <t>G35</t>
  </si>
  <si>
    <t>AAN Guideline, AAN, FDA Labels</t>
  </si>
  <si>
    <t>MDD (#9: PHQ-9), Osteo (#10: DXA if steroids), Epilepsy (#23: ASM overlap), Immunizations shared</t>
  </si>
  <si>
    <t>G20.x</t>
  </si>
  <si>
    <t>AAN, AAN Guideline, MDS</t>
  </si>
  <si>
    <t>MDD (#9: depression), Alzheimer’s (#16: cognitive), Osteo (#10: fall risk), ACP shared w/ dementia</t>
  </si>
  <si>
    <t>L40.x / M07.3</t>
  </si>
  <si>
    <t>AAD, ACR</t>
  </si>
  <si>
    <t>RA (#13: biologics/TB), MDD (#9: depression), CLD (#12: MTX hepatic), CV risk shared w/ CAD/HTN</t>
  </si>
  <si>
    <t>B18.1</t>
  </si>
  <si>
    <t>AASLD HBV Guideline, AASLD HCC Guideline, AASLD</t>
  </si>
  <si>
    <t>HCV (#25: co-infection), CLD (#12: HCC surveillance), HIV (#24: co-screening), Immunization shared</t>
  </si>
  <si>
    <t>I27.0 / I27.2x</t>
  </si>
  <si>
    <t>ESC/ERS, ESC/ERS Guideline</t>
  </si>
  <si>
    <t>HF (#4: RV/echo), CKD (#7: renal function), OSA (#29: overlap), Osteo (#10: pregnancy counseling)</t>
  </si>
  <si>
    <t>D50.x / D63.x</t>
  </si>
  <si>
    <t>ASH, ASH Guideline, ACG</t>
  </si>
  <si>
    <t>CKD (#7: renal/iron), HF (#4: anemia), CLD (#12: GI bleed), Obesity (#11: nutritional)</t>
  </si>
  <si>
    <t>E78.x</t>
  </si>
  <si>
    <t>CMS347v7, ACC/AHA, ACC/AHA Guideline, NLA</t>
  </si>
  <si>
    <t>CAD (#3: statin), PAD (#14: statin), DM (#1/#31: lipids), HTN (#2: ASCVD), CLD (#12: hepatic monitoring)</t>
  </si>
  <si>
    <t>F43.1x</t>
  </si>
  <si>
    <t>VA/DoD CPG, CMS159v12</t>
  </si>
  <si>
    <t>MDD (#9: PHQ-9), GAD (#30: GAD-7), Pain (#18: comorbid), AUD (#44: substance use), Suicide risk shared</t>
  </si>
  <si>
    <t>F31.x</t>
  </si>
  <si>
    <t>APA Guideline, APA, ADA/APA Metabolic Monitoring</t>
  </si>
  <si>
    <t>MDD (#9: PHQ-9), Epilepsy (#23: drug levels), Metabolic (#11: weight), AUD (#44: substance), Women’s health shared</t>
  </si>
  <si>
    <t>F17.2x / Z87.891</t>
  </si>
  <si>
    <t>CMS138v12, USPSTF, PHS Clinical Practice Guideline, PHS Guideline...</t>
  </si>
  <si>
    <t>COPD (#5: smoking), CAD (#3: smoking), PAD (#14: smoking), Lung Ca screening, Pain/MDD comorbidity</t>
  </si>
  <si>
    <t>F10.x</t>
  </si>
  <si>
    <t>CMS, USPSTF, APA, AASLD...</t>
  </si>
  <si>
    <t>CLD (#12: hepatic), MDD (#9: PHQ-9), PTSD (#40: comorbid), Pain (#18: substance), Nutritional deficiency</t>
  </si>
  <si>
    <t>I26.x / I82.x</t>
  </si>
  <si>
    <t>ASH, CHEST Guideline, CHEST</t>
  </si>
  <si>
    <t>AFib (#8: anticoag), CKD (#7: renal dosing), PAD (#14: vascular), Osteo (#10: fall/bleeding risk)</t>
  </si>
  <si>
    <t>L97.x / L89.x / E11.621</t>
  </si>
  <si>
    <t>WHS, SVS, IDSA DFI Guideline, IWGDF Guideline...</t>
  </si>
  <si>
    <t>DM (#1: glycemic), PAD (#14: vascular), CKD (#7: renal), Anemia (#37: nutritional), Obesity (#11: BMI)</t>
  </si>
  <si>
    <t>TOTAL MEASURES (Diseases 31–45)</t>
  </si>
  <si>
    <t>PATIENT EXAMPLE: Ms. Priya Patel (DOB: 07/22/1987)</t>
  </si>
  <si>
    <t>Active Diagnoses: Type 1 Diabetes (E10.65) + Psoriatic Arthritis (M07.3) + Bipolar II (F31.81) — Combined Bundle: 29 Care Gap Measures</t>
  </si>
  <si>
    <t>Source Condition</t>
  </si>
  <si>
    <t>Due Date</t>
  </si>
  <si>
    <t>Status</t>
  </si>
  <si>
    <t>Last Completed</t>
  </si>
  <si>
    <t>Action Needed</t>
  </si>
  <si>
    <t>Type 1 Diabetes</t>
  </si>
  <si>
    <t>04/01/2026</t>
  </si>
  <si>
    <t>DUE</t>
  </si>
  <si>
    <t>01/05/2026</t>
  </si>
  <si>
    <t>Last HbA1c 7.4% — quarterly check due</t>
  </si>
  <si>
    <t>CGM Data Review</t>
  </si>
  <si>
    <t>MET</t>
  </si>
  <si>
    <t>02/20/2026</t>
  </si>
  <si>
    <t>Dexcom G7: TIR 62% — needs improvement</t>
  </si>
  <si>
    <t>Insulin Pump Optimization</t>
  </si>
  <si>
    <t>t:slim X2 settings reviewed; adjusted ICR</t>
  </si>
  <si>
    <t>AT RISK</t>
  </si>
  <si>
    <t>3 Level 2 events this month — adjust basal</t>
  </si>
  <si>
    <t>Dilated Eye Exam</t>
  </si>
  <si>
    <t>07/01/2026</t>
  </si>
  <si>
    <t>07/15/2025</t>
  </si>
  <si>
    <t>No retinopathy; annual exam scheduled</t>
  </si>
  <si>
    <t>uACR 18 mg/g — normal</t>
  </si>
  <si>
    <t>Lipid Panel &amp; Statin</t>
  </si>
  <si>
    <t>LDL 92 — statin not yet indicated (age 38)</t>
  </si>
  <si>
    <t>BP 118/74 — at target</t>
  </si>
  <si>
    <t>Thyroid Screening (TSH)</t>
  </si>
  <si>
    <t>TSH 2.1 — normal; recheck in 1 year</t>
  </si>
  <si>
    <t>Celiac Screening</t>
  </si>
  <si>
    <t>—</t>
  </si>
  <si>
    <t>2019</t>
  </si>
  <si>
    <t>tTG-IgA negative; no GI symptoms</t>
  </si>
  <si>
    <t>Diabetes Distress Screen</t>
  </si>
  <si>
    <t>NOT MET</t>
  </si>
  <si>
    <t>Never</t>
  </si>
  <si>
    <t>Administer DDS-17 or PHQ-9 (shared with BP-06)</t>
  </si>
  <si>
    <t>DUE SOON</t>
  </si>
  <si>
    <t>08/10/2025</t>
  </si>
  <si>
    <t>Schedule comprehensive foot exam</t>
  </si>
  <si>
    <t>Psoriatic Arthritis</t>
  </si>
  <si>
    <t>BSA / PASI Assessment</t>
  </si>
  <si>
    <t>BSA 2% on secukinumab — well controlled</t>
  </si>
  <si>
    <t>Joint Assessment (DAPSA)</t>
  </si>
  <si>
    <t>DAPSA 8 — low disease activity</t>
  </si>
  <si>
    <t>Biologic Safety Labs</t>
  </si>
  <si>
    <t>04/15/2026</t>
  </si>
  <si>
    <t>10/20/2025</t>
  </si>
  <si>
    <t>Order CBC, LFTs for secukinumab monitoring</t>
  </si>
  <si>
    <t>TB Screening</t>
  </si>
  <si>
    <t>06/2024</t>
  </si>
  <si>
    <t>QuantiFERON negative before biologic start</t>
  </si>
  <si>
    <t>CV Risk Assessment</t>
  </si>
  <si>
    <t>Calculate ASCVD risk (PsA = independent CV risk)</t>
  </si>
  <si>
    <t>Metabolic Screening</t>
  </si>
  <si>
    <t>MET (shared)</t>
  </si>
  <si>
    <t>Covered by T1D monitoring (HbA1c, lipids)</t>
  </si>
  <si>
    <t>Mental Health Screen</t>
  </si>
  <si>
    <t>DUE (shared)</t>
  </si>
  <si>
    <t>PHQ-9 shared with bipolar mood monitoring</t>
  </si>
  <si>
    <t>Hepatic Monitoring</t>
  </si>
  <si>
    <t>N/A</t>
  </si>
  <si>
    <t>Not on methotrexate (on biologic)</t>
  </si>
  <si>
    <t>Bipolar II</t>
  </si>
  <si>
    <t>Euthymic x 4 months; mood charting stable</t>
  </si>
  <si>
    <t>Mood Stabilizer Review</t>
  </si>
  <si>
    <t>Lamotrigine 200mg — effective for depression prevention</t>
  </si>
  <si>
    <t>Lithium Level &amp; Labs</t>
  </si>
  <si>
    <t>Not on lithium (on lamotrigine)</t>
  </si>
  <si>
    <t>Valproate Level &amp; Labs</t>
  </si>
  <si>
    <t>Not on valproate; contraindicated (reproductive age)</t>
  </si>
  <si>
    <t>Metabolic Monitoring (SGA)</t>
  </si>
  <si>
    <t>Not on atypical antipsychotic</t>
  </si>
  <si>
    <t>C-SSRS negative; safety plan on file</t>
  </si>
  <si>
    <t>Administer AUDIT-C at next visit</t>
  </si>
  <si>
    <t>Contraception &amp; Pregnancy Planning</t>
  </si>
  <si>
    <t>IUD in place; valproate avoided; documented</t>
  </si>
  <si>
    <t>Functional Assessment</t>
  </si>
  <si>
    <t>08/2025</t>
  </si>
  <si>
    <t>Document occupational and social functioning</t>
  </si>
  <si>
    <t>BUNDLE COMPLIANCE SUMMARY</t>
  </si>
  <si>
    <t>Total Measures in Combined Bundle:</t>
  </si>
  <si>
    <t>Measures Met:</t>
  </si>
  <si>
    <t>Measures Not Met / Overdue:</t>
  </si>
  <si>
    <t>Measures Due / At Risk:</t>
  </si>
  <si>
    <t>Not Applicable:</t>
  </si>
  <si>
    <t>Compliance Rate (Met / Applicable):</t>
  </si>
  <si>
    <t>CROSS-CONDITION CARE GAP OVERLAPS (Diseases 31–45 + Sets 1–2)</t>
  </si>
  <si>
    <t>Shared Measure Domain</t>
  </si>
  <si>
    <t>Applicable Conditions (All 45)</t>
  </si>
  <si>
    <t>Deduplication Rule</t>
  </si>
  <si>
    <t>PHQ-9 Depression Screening</t>
  </si>
  <si>
    <t>MDD, T1D, PD, MS, IBD, Psoriasis, PTSD, Bipolar, AUD, Alzheimer’s, Stroke, Migraine, OSA, GAD, Pain</t>
  </si>
  <si>
    <t>Single PHQ-9 per visit; document in all applicable problem lists; for Bipolar: PHQ-9 screens depressive phase but does NOT replace mood episode assessment</t>
  </si>
  <si>
    <t>GAD-7 Anxiety Screening</t>
  </si>
  <si>
    <t>GAD, PTSD, Migraine, Pain, MDD, IBD, Bipolar, T1D (distress), PD, MS</t>
  </si>
  <si>
    <t>Single GAD-7 covers all; for PTSD: supplement with PCL-5 for trauma-specific symptoms</t>
  </si>
  <si>
    <t>Bipolar, MDD, PTSD, AUD, Pain (chronic opioid), Epilepsy, PD, GAD, SCD (adolescents)</t>
  </si>
  <si>
    <t>One C-SSRS or PHQ-9 Item 9 per visit satisfies all; Bipolar and PTSD have highest risk—always document safety plan</t>
  </si>
  <si>
    <t>Substance Use Screening (AUDIT-C/DAST)</t>
  </si>
  <si>
    <t>AUD, Tobacco, PTSD, Bipolar, GAD, Pain, MDD, HCV, CLD, Alzheimer’s</t>
  </si>
  <si>
    <t>One AUDIT-C + DAST-10 panel per visit covers all conditions; AUD requires full AUDIT if AUDIT-C positive</t>
  </si>
  <si>
    <t>T1D, Stroke, PAH, VTE (HTN is modifiable bleed risk), plus DM, HTN, CAD, HF, CKD, AFib, PAD, Gout, OSA</t>
  </si>
  <si>
    <t>Single BP reading satisfies all 13+ conditions; strictest target applies: &lt;130/80 for DM/CKD/Stroke/CAD</t>
  </si>
  <si>
    <t>Statin / Lipid Panel</t>
  </si>
  <si>
    <t>Hyperlipidemia, T1D, Stroke, Psoriasis (CV risk), HIV, plus DM, HTN, CAD, PAD, RA, Hypothyroid, Gout</t>
  </si>
  <si>
    <t>One annual fasting lipid panel satisfies all; one active statin covers all indications; use highest intensity required</t>
  </si>
  <si>
    <t>Renal Function (eGFR / BMP)</t>
  </si>
  <si>
    <t>VTE (DOAC dosing), T1D, PAH, Anemia, Gout, Epilepsy, HIV, SLE, BPH, plus CKD, DM, HTN, AFib, HF</t>
  </si>
  <si>
    <t>One BMP satisfies all 14+ conditions; use most frequent interval; flag drug dosing for DOACs, ASMs, antivirals, ULT</t>
  </si>
  <si>
    <t>Hepatic Panel (LFTs)</t>
  </si>
  <si>
    <t>HBV, AUD, IBD (biologics), Psoriasis (MTX), Bipolar (valproate), Hyperlipidemia (statins), plus CLD, RA, HCV</t>
  </si>
  <si>
    <t>One hepatic panel covers all; frequency driven by highest-risk medication: q3 months for MTX/valproate, q6 months for biologics</t>
  </si>
  <si>
    <t>Bone Density (DXA) Screening</t>
  </si>
  <si>
    <t>IBD (steroids), MS (steroids), SLE (steroids), Epilepsy (enzyme-inducing ASMs), HIV (TDF), plus Osteoporosis, RA</t>
  </si>
  <si>
    <t>One DXA satisfies all; document which medication/condition triggered screening; shortest interval applies</t>
  </si>
  <si>
    <t>Immunization Review</t>
  </si>
  <si>
    <t>IBD, MS, Psoriasis (biologics), HBV (contacts), HIV, SCD, SLE, plus COPD, Asthma, CKD, DM, HF, RA</t>
  </si>
  <si>
    <t>One annual vaccine review covers all; CRITICAL: live vaccines contraindicated on biologics/immunosuppression—administer BEFORE DMT/biologic start</t>
  </si>
  <si>
    <t>Cardiovascular Risk (ASCVD)</t>
  </si>
  <si>
    <t>Psoriasis (1.5–2x risk), SLE (2–10x), RA (1.5x), HIV (ART metabolic), Hyperlipidemia, plus DM, HTN, CAD, Gout, OSA, Stroke</t>
  </si>
  <si>
    <t>One ASCVD calculation covers all; apply disease-specific multipliers; Lp(a) testing once for FH/premature ASCVD</t>
  </si>
  <si>
    <t>TB Screening (Pre-Biologic/Immunosuppression)</t>
  </si>
  <si>
    <t>Psoriasis, IBD, RA, SLE, MS (some DMTs), plus any condition requiring biologic/immunosuppressive therapy</t>
  </si>
  <si>
    <t>One QuantiFERON satisfies all; repeat annually only if ongoing exposure risk; document before EACH new biologic class</t>
  </si>
  <si>
    <t>Advance Care Planning</t>
  </si>
  <si>
    <t>PD, Alzheimer’s, PAH (pregnancy/prognosis), HF, SCD (severe), MS (progressive), plus any advanced chronic disease</t>
  </si>
  <si>
    <t>One ACP document satisfies all; update annually or at significant disease progression; include POLST for advanced disease</t>
  </si>
  <si>
    <t>Women’s Health: Contraception &amp; Teratogen Counseling</t>
  </si>
  <si>
    <t>Bipolar (valproate = Category X), Epilepsy (ASMs), PAH (pregnancy contraindicated), SLE (anti-Ro, teratogenic meds), Psoriasis (MTX), RA (MTX/leflunomide)</t>
  </si>
  <si>
    <t>One contraception counseling session covers all; document EACH teratogenic medication; pre-conception transition planning required</t>
  </si>
  <si>
    <t>Wound / Foot Examination</t>
  </si>
  <si>
    <t>Chronic Wounds, T1D (foot exam), DM (#1: foot exam), PAD (foot/wound), SCD (leg ulcers), VTE (PTS/skin changes)</t>
  </si>
  <si>
    <t>One comprehensive lower extremity exam covers all; document vascular status (ABI), neuropathy (monofilament), and skin integrity separately</t>
  </si>
  <si>
    <t>Iron / Nutritional Panel</t>
  </si>
  <si>
    <t>Anemia, IBD (malabsorption), CKD (#7), AUD (thiamine/B12), Chronic Wounds (prealbumin), SCD, HF (iron deficiency)</t>
  </si>
  <si>
    <t>One comprehensive panel (ferritin, TSAT, B12, folate, D) covers all; add thiamine for AUD, prealbumin for wounds</t>
  </si>
  <si>
    <t>Smoking Cessation &amp; Lung Cancer Screening</t>
  </si>
  <si>
    <t>Tobacco, COPD, CAD, PAD, Stroke, Chronic Wounds (impaired healing), plus all vascular/pulmonary conditions</t>
  </si>
  <si>
    <t>One tobacco screen + cessation intervention per visit; LDCT annually for eligible patients (50–80, ≥20 pack-year)</t>
  </si>
  <si>
    <t>HCC Surveillance (Ultrasound ± AFP)</t>
  </si>
  <si>
    <t>HBV, HCV (if cirrhotic), CLD (if cirrhotic)</t>
  </si>
  <si>
    <t>One q6-month abdominal ultrasound satisfies all; continues indefinitely if cirrhosis present, even after viral cure</t>
  </si>
  <si>
    <t>Anticoagulation Management</t>
  </si>
  <si>
    <t>VTE, AFib, plus HF (if thrombus), PAH (selected patients), mechanical valves</t>
  </si>
  <si>
    <t>One anticoagulant covers all indications; DOAC preferred unless APS or mechanical valve; one INR/renal monitoring schedule satisfies all</t>
  </si>
  <si>
    <t>MEDGNOSIS CARE GAP BUNDLE GRAND MASTER INDEX — ALL 45 CHRONIC DISEASES</t>
  </si>
  <si>
    <t>ICD-10</t>
  </si>
  <si>
    <t>SET 1 — DISEASES 1–15</t>
  </si>
  <si>
    <t>Type 2 Diabetes Mellitus</t>
  </si>
  <si>
    <t>E11.x</t>
  </si>
  <si>
    <t>Hypertension (HTN)</t>
  </si>
  <si>
    <t>I10–I16</t>
  </si>
  <si>
    <t>Coronary Artery Disease (CAD)</t>
  </si>
  <si>
    <t>I25.x</t>
  </si>
  <si>
    <t>Heart Failure (HF)</t>
  </si>
  <si>
    <t>I50.x</t>
  </si>
  <si>
    <t>COPD</t>
  </si>
  <si>
    <t>J44.x</t>
  </si>
  <si>
    <t>Asthma</t>
  </si>
  <si>
    <t>J45.x</t>
  </si>
  <si>
    <t>Chronic Kidney Disease (CKD)</t>
  </si>
  <si>
    <t>N18.x</t>
  </si>
  <si>
    <t>Atrial Fibrillation (AFib)</t>
  </si>
  <si>
    <t>I48.x</t>
  </si>
  <si>
    <t>Major Depressive Disorder (MDD)</t>
  </si>
  <si>
    <t>F32–F33</t>
  </si>
  <si>
    <t>Osteoporosis</t>
  </si>
  <si>
    <t>M80–M81</t>
  </si>
  <si>
    <t>Obesity</t>
  </si>
  <si>
    <t>E66.x</t>
  </si>
  <si>
    <t>Chronic Liver Disease / NAFLD-MASLD</t>
  </si>
  <si>
    <t>K76.0 / K74.x</t>
  </si>
  <si>
    <t>Rheumatoid Arthritis (RA)</t>
  </si>
  <si>
    <t>M05–M06</t>
  </si>
  <si>
    <t>Peripheral Artery Disease (PAD)</t>
  </si>
  <si>
    <t>I73.9 / I70.2x</t>
  </si>
  <si>
    <t>Hypothyroidism</t>
  </si>
  <si>
    <t>E03.x</t>
  </si>
  <si>
    <t>Set 1 Subtotal</t>
  </si>
  <si>
    <t>SET 2 — DISEASES 16–30</t>
  </si>
  <si>
    <t>Alzheimer’s Disease &amp; Related Dementias</t>
  </si>
  <si>
    <t>G30.x / F02.x</t>
  </si>
  <si>
    <t>Stroke / Cerebrovascular Disease</t>
  </si>
  <si>
    <t>I63.x / I67.x</t>
  </si>
  <si>
    <t>Chronic Pain &amp; Opioid Use Management</t>
  </si>
  <si>
    <t>G89.x / F11.x</t>
  </si>
  <si>
    <t>Osteoarthritis (OA)</t>
  </si>
  <si>
    <t>M15–M19</t>
  </si>
  <si>
    <t>GERD</t>
  </si>
  <si>
    <t>K21.x</t>
  </si>
  <si>
    <t>Benign Prostatic Hyperplasia (BPH)</t>
  </si>
  <si>
    <t>N40.x</t>
  </si>
  <si>
    <t>Chronic Migraine</t>
  </si>
  <si>
    <t>G43.7x</t>
  </si>
  <si>
    <t>Epilepsy / Seizure Disorder</t>
  </si>
  <si>
    <t>G40.x</t>
  </si>
  <si>
    <t>HIV / AIDS</t>
  </si>
  <si>
    <t>B20 / Z21</t>
  </si>
  <si>
    <t>Hepatitis C</t>
  </si>
  <si>
    <t>B18.2</t>
  </si>
  <si>
    <t>Sickle Cell Disease (SCD)</t>
  </si>
  <si>
    <t>D57.x</t>
  </si>
  <si>
    <t>Systemic Lupus Erythematosus (SLE)</t>
  </si>
  <si>
    <t>M32.x</t>
  </si>
  <si>
    <t>Gout</t>
  </si>
  <si>
    <t>M10.x</t>
  </si>
  <si>
    <t>Obstructive Sleep Apnea (OSA)</t>
  </si>
  <si>
    <t>G47.33</t>
  </si>
  <si>
    <t>Generalized Anxiety Disorder (GAD)</t>
  </si>
  <si>
    <t>F41.1</t>
  </si>
  <si>
    <t>Set 2 Subtotal</t>
  </si>
  <si>
    <t>SET 3 — DISEASES 31–45 (THIS WORKBOOK)</t>
  </si>
  <si>
    <t>Set 3 Subtotal</t>
  </si>
  <si>
    <t>GRAND TOTAL — ALL 45 CHRONIC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</si>
</sst>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1B2A4A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b/>
      <sz val="10"/>
      <color rgb="FF1B2A4A"/>
      <name val="Arial"/>
      <charset val="1"/>
    </font>
    <font>
      <b/>
      <sz val="13"/>
      <color rgb="FFFFFFFF"/>
      <name val="Arial"/>
      <charset val="1"/>
    </font>
    <font>
      <b/>
      <sz val="10"/>
      <color rgb="FF3498DB"/>
      <name val="Arial"/>
      <charset val="1"/>
    </font>
    <font>
      <b/>
      <sz val="10"/>
      <color rgb="FF27AE60"/>
      <name val="Arial"/>
      <charset val="1"/>
    </font>
    <font>
      <b/>
      <sz val="10"/>
      <color rgb="FFF39C12"/>
      <name val="Arial"/>
      <charset val="1"/>
    </font>
    <font>
      <b/>
      <sz val="10"/>
      <color rgb="FFE74C3C"/>
      <name val="Arial"/>
      <charset val="1"/>
    </font>
    <font>
      <b/>
      <sz val="10"/>
      <color rgb="FF95A5A6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E8ECF1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E74C3C"/>
        <bgColor rgb="FFFF8080"/>
      </patternFill>
    </fill>
    <fill>
      <patternFill patternType="solid">
        <fgColor rgb="FF27AE60"/>
        <bgColor rgb="FF2E86AB"/>
      </patternFill>
    </fill>
    <fill>
      <patternFill patternType="solid">
        <fgColor rgb="FF8E44AD"/>
        <bgColor rgb="FF993366"/>
      </patternFill>
    </fill>
    <fill>
      <patternFill patternType="solid">
        <fgColor rgb="FF2E86AB"/>
        <bgColor rgb="FF3498DB"/>
      </patternFill>
    </fill>
  </fills>
  <borders count="2">
    <border>
      <left/>
      <right/>
      <top/>
      <bottom/>
      <diagonal/>
    </border>
    <border>
      <left style="thin">
        <color rgb="FFC0C7D0"/>
      </left>
      <right style="thin">
        <color rgb="FFC0C7D0"/>
      </right>
      <top style="thin">
        <color rgb="FFC0C7D0"/>
      </top>
      <bottom style="thin">
        <color rgb="FFC0C7D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2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2" fillId="3" borderId="0" xfId="0" applyFont="1" applyFill="1"/>
    <xf numFmtId="0" fontId="5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C0C7D0"/>
      <rgbColor rgb="FF808080"/>
      <rgbColor rgb="FF9999FF"/>
      <rgbColor rgb="FF8E44AD"/>
      <rgbColor rgb="FFF5F7FA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39C12"/>
      <rgbColor rgb="FFE74C3C"/>
      <rgbColor rgb="FF666699"/>
      <rgbColor rgb="FF95A5A6"/>
      <rgbColor rgb="FF003366"/>
      <rgbColor rgb="FF27AE60"/>
      <rgbColor rgb="FF003300"/>
      <rgbColor rgb="FF1A1A2E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G160"/>
  <sheetViews>
    <sheetView tabSelected="1" zoomScaleNormal="100" workbookViewId="0">
      <pane ySplit="1" topLeftCell="A133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14" customWidth="1"/>
    <col min="2" max="2" width="22" customWidth="1"/>
    <col min="3" max="3" width="30" customWidth="1"/>
    <col min="4" max="4" width="54" customWidth="1"/>
    <col min="5" max="5" width="28" customWidth="1"/>
    <col min="6" max="6" width="26" customWidth="1"/>
    <col min="7" max="7" width="8" customWidth="1"/>
  </cols>
  <sheetData>
    <row r="1" spans="1:7" ht="30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8" t="s">
        <v>7</v>
      </c>
      <c r="B2" s="8"/>
      <c r="C2" s="8"/>
      <c r="D2" s="8"/>
      <c r="E2" s="8"/>
      <c r="F2" s="8"/>
      <c r="G2" s="8"/>
    </row>
    <row r="3" spans="1:7" ht="28" x14ac:dyDescent="0.2">
      <c r="A3" s="10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2">
        <v>12</v>
      </c>
    </row>
    <row r="4" spans="1:7" ht="28" x14ac:dyDescent="0.2">
      <c r="A4" s="13" t="s">
        <v>14</v>
      </c>
      <c r="B4" s="14" t="s">
        <v>9</v>
      </c>
      <c r="C4" s="14" t="s">
        <v>15</v>
      </c>
      <c r="D4" s="14" t="s">
        <v>16</v>
      </c>
      <c r="E4" s="14" t="s">
        <v>17</v>
      </c>
      <c r="F4" s="14" t="s">
        <v>18</v>
      </c>
      <c r="G4" s="15">
        <v>12</v>
      </c>
    </row>
    <row r="5" spans="1:7" ht="28" x14ac:dyDescent="0.2">
      <c r="A5" s="10" t="s">
        <v>19</v>
      </c>
      <c r="B5" s="11" t="s">
        <v>9</v>
      </c>
      <c r="C5" s="11" t="s">
        <v>20</v>
      </c>
      <c r="D5" s="11" t="s">
        <v>21</v>
      </c>
      <c r="E5" s="11" t="s">
        <v>17</v>
      </c>
      <c r="F5" s="11" t="s">
        <v>22</v>
      </c>
      <c r="G5" s="12">
        <v>12</v>
      </c>
    </row>
    <row r="6" spans="1:7" ht="28" x14ac:dyDescent="0.2">
      <c r="A6" s="13" t="s">
        <v>23</v>
      </c>
      <c r="B6" s="14" t="s">
        <v>9</v>
      </c>
      <c r="C6" s="14" t="s">
        <v>24</v>
      </c>
      <c r="D6" s="14" t="s">
        <v>25</v>
      </c>
      <c r="E6" s="14" t="s">
        <v>17</v>
      </c>
      <c r="F6" s="14" t="s">
        <v>18</v>
      </c>
      <c r="G6" s="15">
        <v>12</v>
      </c>
    </row>
    <row r="7" spans="1:7" ht="28" x14ac:dyDescent="0.2">
      <c r="A7" s="10" t="s">
        <v>26</v>
      </c>
      <c r="B7" s="11" t="s">
        <v>9</v>
      </c>
      <c r="C7" s="11" t="s">
        <v>27</v>
      </c>
      <c r="D7" s="11" t="s">
        <v>28</v>
      </c>
      <c r="E7" s="11" t="s">
        <v>29</v>
      </c>
      <c r="F7" s="11" t="s">
        <v>30</v>
      </c>
      <c r="G7" s="12">
        <v>12</v>
      </c>
    </row>
    <row r="8" spans="1:7" ht="28" x14ac:dyDescent="0.2">
      <c r="A8" s="13" t="s">
        <v>31</v>
      </c>
      <c r="B8" s="14" t="s">
        <v>9</v>
      </c>
      <c r="C8" s="14" t="s">
        <v>32</v>
      </c>
      <c r="D8" s="14" t="s">
        <v>33</v>
      </c>
      <c r="E8" s="14" t="s">
        <v>29</v>
      </c>
      <c r="F8" s="14" t="s">
        <v>34</v>
      </c>
      <c r="G8" s="15">
        <v>12</v>
      </c>
    </row>
    <row r="9" spans="1:7" ht="28" x14ac:dyDescent="0.2">
      <c r="A9" s="10" t="s">
        <v>35</v>
      </c>
      <c r="B9" s="11" t="s">
        <v>9</v>
      </c>
      <c r="C9" s="11" t="s">
        <v>36</v>
      </c>
      <c r="D9" s="11" t="s">
        <v>37</v>
      </c>
      <c r="E9" s="11" t="s">
        <v>38</v>
      </c>
      <c r="F9" s="11" t="s">
        <v>39</v>
      </c>
      <c r="G9" s="12">
        <v>12</v>
      </c>
    </row>
    <row r="10" spans="1:7" x14ac:dyDescent="0.2">
      <c r="A10" s="13" t="s">
        <v>40</v>
      </c>
      <c r="B10" s="14" t="s">
        <v>9</v>
      </c>
      <c r="C10" s="14" t="s">
        <v>41</v>
      </c>
      <c r="D10" s="14" t="s">
        <v>42</v>
      </c>
      <c r="E10" s="14" t="s">
        <v>17</v>
      </c>
      <c r="F10" s="14" t="s">
        <v>43</v>
      </c>
      <c r="G10" s="15">
        <v>12</v>
      </c>
    </row>
    <row r="11" spans="1:7" ht="28" x14ac:dyDescent="0.2">
      <c r="A11" s="10" t="s">
        <v>44</v>
      </c>
      <c r="B11" s="11" t="s">
        <v>9</v>
      </c>
      <c r="C11" s="11" t="s">
        <v>45</v>
      </c>
      <c r="D11" s="11" t="s">
        <v>46</v>
      </c>
      <c r="E11" s="11" t="s">
        <v>47</v>
      </c>
      <c r="F11" s="11" t="s">
        <v>18</v>
      </c>
      <c r="G11" s="12">
        <v>12</v>
      </c>
    </row>
    <row r="12" spans="1:7" ht="28" x14ac:dyDescent="0.2">
      <c r="A12" s="13" t="s">
        <v>48</v>
      </c>
      <c r="B12" s="14" t="s">
        <v>9</v>
      </c>
      <c r="C12" s="14" t="s">
        <v>49</v>
      </c>
      <c r="D12" s="14" t="s">
        <v>50</v>
      </c>
      <c r="E12" s="14" t="s">
        <v>51</v>
      </c>
      <c r="F12" s="14" t="s">
        <v>22</v>
      </c>
      <c r="G12" s="15">
        <v>12</v>
      </c>
    </row>
    <row r="13" spans="1:7" ht="28" x14ac:dyDescent="0.2">
      <c r="A13" s="10" t="s">
        <v>52</v>
      </c>
      <c r="B13" s="11" t="s">
        <v>9</v>
      </c>
      <c r="C13" s="11" t="s">
        <v>53</v>
      </c>
      <c r="D13" s="11" t="s">
        <v>54</v>
      </c>
      <c r="E13" s="11" t="s">
        <v>38</v>
      </c>
      <c r="F13" s="11" t="s">
        <v>55</v>
      </c>
      <c r="G13" s="12">
        <v>12</v>
      </c>
    </row>
    <row r="14" spans="1:7" ht="28" x14ac:dyDescent="0.2">
      <c r="A14" s="13" t="s">
        <v>56</v>
      </c>
      <c r="B14" s="14" t="s">
        <v>9</v>
      </c>
      <c r="C14" s="14" t="s">
        <v>57</v>
      </c>
      <c r="D14" s="14" t="s">
        <v>58</v>
      </c>
      <c r="E14" s="14" t="s">
        <v>38</v>
      </c>
      <c r="F14" s="14" t="s">
        <v>22</v>
      </c>
      <c r="G14" s="15">
        <v>12</v>
      </c>
    </row>
    <row r="16" spans="1:7" x14ac:dyDescent="0.2">
      <c r="A16" s="8" t="s">
        <v>59</v>
      </c>
      <c r="B16" s="8"/>
      <c r="C16" s="8"/>
      <c r="D16" s="8"/>
      <c r="E16" s="8"/>
      <c r="F16" s="8"/>
      <c r="G16" s="8"/>
    </row>
    <row r="17" spans="1:7" ht="28" x14ac:dyDescent="0.2">
      <c r="A17" s="10" t="s">
        <v>60</v>
      </c>
      <c r="B17" s="11" t="s">
        <v>61</v>
      </c>
      <c r="C17" s="11" t="s">
        <v>62</v>
      </c>
      <c r="D17" s="11" t="s">
        <v>63</v>
      </c>
      <c r="E17" s="11" t="s">
        <v>17</v>
      </c>
      <c r="F17" s="11" t="s">
        <v>64</v>
      </c>
      <c r="G17" s="12">
        <v>9</v>
      </c>
    </row>
    <row r="18" spans="1:7" ht="28" x14ac:dyDescent="0.2">
      <c r="A18" s="13" t="s">
        <v>65</v>
      </c>
      <c r="B18" s="14" t="s">
        <v>61</v>
      </c>
      <c r="C18" s="14" t="s">
        <v>66</v>
      </c>
      <c r="D18" s="14" t="s">
        <v>67</v>
      </c>
      <c r="E18" s="14" t="s">
        <v>68</v>
      </c>
      <c r="F18" s="14" t="s">
        <v>64</v>
      </c>
      <c r="G18" s="15">
        <v>9</v>
      </c>
    </row>
    <row r="19" spans="1:7" ht="28" x14ac:dyDescent="0.2">
      <c r="A19" s="10" t="s">
        <v>69</v>
      </c>
      <c r="B19" s="11" t="s">
        <v>61</v>
      </c>
      <c r="C19" s="11" t="s">
        <v>70</v>
      </c>
      <c r="D19" s="11" t="s">
        <v>71</v>
      </c>
      <c r="E19" s="11" t="s">
        <v>72</v>
      </c>
      <c r="F19" s="11" t="s">
        <v>73</v>
      </c>
      <c r="G19" s="12">
        <v>9</v>
      </c>
    </row>
    <row r="20" spans="1:7" ht="42" x14ac:dyDescent="0.2">
      <c r="A20" s="13" t="s">
        <v>74</v>
      </c>
      <c r="B20" s="14" t="s">
        <v>61</v>
      </c>
      <c r="C20" s="14" t="s">
        <v>75</v>
      </c>
      <c r="D20" s="14" t="s">
        <v>76</v>
      </c>
      <c r="E20" s="14" t="s">
        <v>77</v>
      </c>
      <c r="F20" s="14" t="s">
        <v>64</v>
      </c>
      <c r="G20" s="15">
        <v>9</v>
      </c>
    </row>
    <row r="21" spans="1:7" ht="42" x14ac:dyDescent="0.2">
      <c r="A21" s="10" t="s">
        <v>78</v>
      </c>
      <c r="B21" s="11" t="s">
        <v>61</v>
      </c>
      <c r="C21" s="11" t="s">
        <v>79</v>
      </c>
      <c r="D21" s="11" t="s">
        <v>80</v>
      </c>
      <c r="E21" s="11" t="s">
        <v>38</v>
      </c>
      <c r="F21" s="11" t="s">
        <v>81</v>
      </c>
      <c r="G21" s="12">
        <v>9</v>
      </c>
    </row>
    <row r="22" spans="1:7" ht="28" x14ac:dyDescent="0.2">
      <c r="A22" s="13" t="s">
        <v>82</v>
      </c>
      <c r="B22" s="14" t="s">
        <v>61</v>
      </c>
      <c r="C22" s="14" t="s">
        <v>83</v>
      </c>
      <c r="D22" s="14" t="s">
        <v>84</v>
      </c>
      <c r="E22" s="14" t="s">
        <v>85</v>
      </c>
      <c r="F22" s="14" t="s">
        <v>86</v>
      </c>
      <c r="G22" s="15">
        <v>9</v>
      </c>
    </row>
    <row r="23" spans="1:7" ht="28" x14ac:dyDescent="0.2">
      <c r="A23" s="10" t="s">
        <v>87</v>
      </c>
      <c r="B23" s="11" t="s">
        <v>61</v>
      </c>
      <c r="C23" s="11" t="s">
        <v>88</v>
      </c>
      <c r="D23" s="11" t="s">
        <v>89</v>
      </c>
      <c r="E23" s="11" t="s">
        <v>90</v>
      </c>
      <c r="F23" s="11" t="s">
        <v>64</v>
      </c>
      <c r="G23" s="12">
        <v>9</v>
      </c>
    </row>
    <row r="24" spans="1:7" ht="28" x14ac:dyDescent="0.2">
      <c r="A24" s="13" t="s">
        <v>91</v>
      </c>
      <c r="B24" s="14" t="s">
        <v>61</v>
      </c>
      <c r="C24" s="14" t="s">
        <v>92</v>
      </c>
      <c r="D24" s="14" t="s">
        <v>93</v>
      </c>
      <c r="E24" s="14" t="s">
        <v>94</v>
      </c>
      <c r="F24" s="14" t="s">
        <v>64</v>
      </c>
      <c r="G24" s="15">
        <v>9</v>
      </c>
    </row>
    <row r="25" spans="1:7" ht="28" x14ac:dyDescent="0.2">
      <c r="A25" s="10" t="s">
        <v>95</v>
      </c>
      <c r="B25" s="11" t="s">
        <v>61</v>
      </c>
      <c r="C25" s="11" t="s">
        <v>96</v>
      </c>
      <c r="D25" s="11" t="s">
        <v>97</v>
      </c>
      <c r="E25" s="11" t="s">
        <v>38</v>
      </c>
      <c r="F25" s="11" t="s">
        <v>98</v>
      </c>
      <c r="G25" s="12">
        <v>9</v>
      </c>
    </row>
    <row r="27" spans="1:7" x14ac:dyDescent="0.2">
      <c r="A27" s="8" t="s">
        <v>99</v>
      </c>
      <c r="B27" s="8"/>
      <c r="C27" s="8"/>
      <c r="D27" s="8"/>
      <c r="E27" s="8"/>
      <c r="F27" s="8"/>
      <c r="G27" s="8"/>
    </row>
    <row r="28" spans="1:7" ht="28" x14ac:dyDescent="0.2">
      <c r="A28" s="10" t="s">
        <v>100</v>
      </c>
      <c r="B28" s="11" t="s">
        <v>101</v>
      </c>
      <c r="C28" s="11" t="s">
        <v>102</v>
      </c>
      <c r="D28" s="11" t="s">
        <v>103</v>
      </c>
      <c r="E28" s="11" t="s">
        <v>90</v>
      </c>
      <c r="F28" s="11" t="s">
        <v>104</v>
      </c>
      <c r="G28" s="12">
        <v>9</v>
      </c>
    </row>
    <row r="29" spans="1:7" ht="28" x14ac:dyDescent="0.2">
      <c r="A29" s="13" t="s">
        <v>105</v>
      </c>
      <c r="B29" s="14" t="s">
        <v>101</v>
      </c>
      <c r="C29" s="14" t="s">
        <v>106</v>
      </c>
      <c r="D29" s="14" t="s">
        <v>107</v>
      </c>
      <c r="E29" s="14" t="s">
        <v>17</v>
      </c>
      <c r="F29" s="14" t="s">
        <v>104</v>
      </c>
      <c r="G29" s="15">
        <v>9</v>
      </c>
    </row>
    <row r="30" spans="1:7" ht="28" x14ac:dyDescent="0.2">
      <c r="A30" s="10" t="s">
        <v>108</v>
      </c>
      <c r="B30" s="11" t="s">
        <v>101</v>
      </c>
      <c r="C30" s="11" t="s">
        <v>109</v>
      </c>
      <c r="D30" s="11" t="s">
        <v>110</v>
      </c>
      <c r="E30" s="11" t="s">
        <v>111</v>
      </c>
      <c r="F30" s="11" t="s">
        <v>112</v>
      </c>
      <c r="G30" s="12">
        <v>9</v>
      </c>
    </row>
    <row r="31" spans="1:7" ht="28" x14ac:dyDescent="0.2">
      <c r="A31" s="13" t="s">
        <v>113</v>
      </c>
      <c r="B31" s="14" t="s">
        <v>101</v>
      </c>
      <c r="C31" s="14" t="s">
        <v>114</v>
      </c>
      <c r="D31" s="14" t="s">
        <v>115</v>
      </c>
      <c r="E31" s="14" t="s">
        <v>17</v>
      </c>
      <c r="F31" s="14" t="s">
        <v>104</v>
      </c>
      <c r="G31" s="15">
        <v>9</v>
      </c>
    </row>
    <row r="32" spans="1:7" ht="28" x14ac:dyDescent="0.2">
      <c r="A32" s="10" t="s">
        <v>116</v>
      </c>
      <c r="B32" s="11" t="s">
        <v>101</v>
      </c>
      <c r="C32" s="11" t="s">
        <v>117</v>
      </c>
      <c r="D32" s="11" t="s">
        <v>118</v>
      </c>
      <c r="E32" s="11" t="s">
        <v>119</v>
      </c>
      <c r="F32" s="11" t="s">
        <v>120</v>
      </c>
      <c r="G32" s="12">
        <v>9</v>
      </c>
    </row>
    <row r="33" spans="1:7" ht="28" x14ac:dyDescent="0.2">
      <c r="A33" s="13" t="s">
        <v>121</v>
      </c>
      <c r="B33" s="14" t="s">
        <v>101</v>
      </c>
      <c r="C33" s="14" t="s">
        <v>122</v>
      </c>
      <c r="D33" s="14" t="s">
        <v>123</v>
      </c>
      <c r="E33" s="14" t="s">
        <v>124</v>
      </c>
      <c r="F33" s="14" t="s">
        <v>125</v>
      </c>
      <c r="G33" s="15">
        <v>9</v>
      </c>
    </row>
    <row r="34" spans="1:7" ht="28" x14ac:dyDescent="0.2">
      <c r="A34" s="10" t="s">
        <v>126</v>
      </c>
      <c r="B34" s="11" t="s">
        <v>101</v>
      </c>
      <c r="C34" s="11" t="s">
        <v>127</v>
      </c>
      <c r="D34" s="11" t="s">
        <v>128</v>
      </c>
      <c r="E34" s="11" t="s">
        <v>38</v>
      </c>
      <c r="F34" s="11" t="s">
        <v>104</v>
      </c>
      <c r="G34" s="12">
        <v>9</v>
      </c>
    </row>
    <row r="35" spans="1:7" ht="28" x14ac:dyDescent="0.2">
      <c r="A35" s="13" t="s">
        <v>129</v>
      </c>
      <c r="B35" s="14" t="s">
        <v>101</v>
      </c>
      <c r="C35" s="14" t="s">
        <v>130</v>
      </c>
      <c r="D35" s="14" t="s">
        <v>131</v>
      </c>
      <c r="E35" s="14" t="s">
        <v>38</v>
      </c>
      <c r="F35" s="14" t="s">
        <v>132</v>
      </c>
      <c r="G35" s="15">
        <v>9</v>
      </c>
    </row>
    <row r="36" spans="1:7" ht="28" x14ac:dyDescent="0.2">
      <c r="A36" s="10" t="s">
        <v>133</v>
      </c>
      <c r="B36" s="11" t="s">
        <v>101</v>
      </c>
      <c r="C36" s="11" t="s">
        <v>134</v>
      </c>
      <c r="D36" s="11" t="s">
        <v>135</v>
      </c>
      <c r="E36" s="11" t="s">
        <v>136</v>
      </c>
      <c r="F36" s="11" t="s">
        <v>137</v>
      </c>
      <c r="G36" s="12">
        <v>9</v>
      </c>
    </row>
    <row r="38" spans="1:7" x14ac:dyDescent="0.2">
      <c r="A38" s="8" t="s">
        <v>138</v>
      </c>
      <c r="B38" s="8"/>
      <c r="C38" s="8"/>
      <c r="D38" s="8"/>
      <c r="E38" s="8"/>
      <c r="F38" s="8"/>
      <c r="G38" s="8"/>
    </row>
    <row r="39" spans="1:7" ht="28" x14ac:dyDescent="0.2">
      <c r="A39" s="10" t="s">
        <v>139</v>
      </c>
      <c r="B39" s="11" t="s">
        <v>140</v>
      </c>
      <c r="C39" s="11" t="s">
        <v>141</v>
      </c>
      <c r="D39" s="11" t="s">
        <v>142</v>
      </c>
      <c r="E39" s="11" t="s">
        <v>17</v>
      </c>
      <c r="F39" s="11" t="s">
        <v>143</v>
      </c>
      <c r="G39" s="12">
        <v>10</v>
      </c>
    </row>
    <row r="40" spans="1:7" ht="28" x14ac:dyDescent="0.2">
      <c r="A40" s="13" t="s">
        <v>144</v>
      </c>
      <c r="B40" s="14" t="s">
        <v>140</v>
      </c>
      <c r="C40" s="14" t="s">
        <v>145</v>
      </c>
      <c r="D40" s="14" t="s">
        <v>146</v>
      </c>
      <c r="E40" s="14" t="s">
        <v>17</v>
      </c>
      <c r="F40" s="14" t="s">
        <v>104</v>
      </c>
      <c r="G40" s="15">
        <v>10</v>
      </c>
    </row>
    <row r="41" spans="1:7" ht="28" x14ac:dyDescent="0.2">
      <c r="A41" s="10" t="s">
        <v>147</v>
      </c>
      <c r="B41" s="11" t="s">
        <v>140</v>
      </c>
      <c r="C41" s="11" t="s">
        <v>148</v>
      </c>
      <c r="D41" s="11" t="s">
        <v>149</v>
      </c>
      <c r="E41" s="11" t="s">
        <v>124</v>
      </c>
      <c r="F41" s="11" t="s">
        <v>150</v>
      </c>
      <c r="G41" s="12">
        <v>10</v>
      </c>
    </row>
    <row r="42" spans="1:7" ht="28" x14ac:dyDescent="0.2">
      <c r="A42" s="13" t="s">
        <v>151</v>
      </c>
      <c r="B42" s="14" t="s">
        <v>140</v>
      </c>
      <c r="C42" s="14" t="s">
        <v>152</v>
      </c>
      <c r="D42" s="14" t="s">
        <v>153</v>
      </c>
      <c r="E42" s="14" t="s">
        <v>38</v>
      </c>
      <c r="F42" s="14" t="s">
        <v>143</v>
      </c>
      <c r="G42" s="15">
        <v>10</v>
      </c>
    </row>
    <row r="43" spans="1:7" ht="28" x14ac:dyDescent="0.2">
      <c r="A43" s="10" t="s">
        <v>154</v>
      </c>
      <c r="B43" s="11" t="s">
        <v>140</v>
      </c>
      <c r="C43" s="11" t="s">
        <v>155</v>
      </c>
      <c r="D43" s="11" t="s">
        <v>156</v>
      </c>
      <c r="E43" s="11" t="s">
        <v>17</v>
      </c>
      <c r="F43" s="11" t="s">
        <v>104</v>
      </c>
      <c r="G43" s="12">
        <v>10</v>
      </c>
    </row>
    <row r="44" spans="1:7" ht="28" x14ac:dyDescent="0.2">
      <c r="A44" s="13" t="s">
        <v>157</v>
      </c>
      <c r="B44" s="14" t="s">
        <v>140</v>
      </c>
      <c r="C44" s="14" t="s">
        <v>158</v>
      </c>
      <c r="D44" s="14" t="s">
        <v>159</v>
      </c>
      <c r="E44" s="14" t="s">
        <v>124</v>
      </c>
      <c r="F44" s="14" t="s">
        <v>160</v>
      </c>
      <c r="G44" s="15">
        <v>10</v>
      </c>
    </row>
    <row r="45" spans="1:7" ht="28" x14ac:dyDescent="0.2">
      <c r="A45" s="10" t="s">
        <v>161</v>
      </c>
      <c r="B45" s="11" t="s">
        <v>140</v>
      </c>
      <c r="C45" s="11" t="s">
        <v>162</v>
      </c>
      <c r="D45" s="11" t="s">
        <v>163</v>
      </c>
      <c r="E45" s="11" t="s">
        <v>38</v>
      </c>
      <c r="F45" s="11" t="s">
        <v>104</v>
      </c>
      <c r="G45" s="12">
        <v>10</v>
      </c>
    </row>
    <row r="46" spans="1:7" ht="28" x14ac:dyDescent="0.2">
      <c r="A46" s="13" t="s">
        <v>164</v>
      </c>
      <c r="B46" s="14" t="s">
        <v>140</v>
      </c>
      <c r="C46" s="14" t="s">
        <v>165</v>
      </c>
      <c r="D46" s="14" t="s">
        <v>166</v>
      </c>
      <c r="E46" s="14" t="s">
        <v>167</v>
      </c>
      <c r="F46" s="14" t="s">
        <v>143</v>
      </c>
      <c r="G46" s="15">
        <v>10</v>
      </c>
    </row>
    <row r="47" spans="1:7" ht="28" x14ac:dyDescent="0.2">
      <c r="A47" s="10" t="s">
        <v>168</v>
      </c>
      <c r="B47" s="11" t="s">
        <v>140</v>
      </c>
      <c r="C47" s="11" t="s">
        <v>169</v>
      </c>
      <c r="D47" s="11" t="s">
        <v>170</v>
      </c>
      <c r="E47" s="11" t="s">
        <v>17</v>
      </c>
      <c r="F47" s="11" t="s">
        <v>171</v>
      </c>
      <c r="G47" s="12">
        <v>10</v>
      </c>
    </row>
    <row r="48" spans="1:7" ht="28" x14ac:dyDescent="0.2">
      <c r="A48" s="13" t="s">
        <v>172</v>
      </c>
      <c r="B48" s="14" t="s">
        <v>140</v>
      </c>
      <c r="C48" s="14" t="s">
        <v>173</v>
      </c>
      <c r="D48" s="14" t="s">
        <v>174</v>
      </c>
      <c r="E48" s="14" t="s">
        <v>175</v>
      </c>
      <c r="F48" s="14" t="s">
        <v>176</v>
      </c>
      <c r="G48" s="15">
        <v>10</v>
      </c>
    </row>
    <row r="50" spans="1:7" x14ac:dyDescent="0.2">
      <c r="A50" s="8" t="s">
        <v>177</v>
      </c>
      <c r="B50" s="8"/>
      <c r="C50" s="8"/>
      <c r="D50" s="8"/>
      <c r="E50" s="8"/>
      <c r="F50" s="8"/>
      <c r="G50" s="8"/>
    </row>
    <row r="51" spans="1:7" ht="42" x14ac:dyDescent="0.2">
      <c r="A51" s="10" t="s">
        <v>178</v>
      </c>
      <c r="B51" s="11" t="s">
        <v>179</v>
      </c>
      <c r="C51" s="11" t="s">
        <v>180</v>
      </c>
      <c r="D51" s="11" t="s">
        <v>181</v>
      </c>
      <c r="E51" s="11" t="s">
        <v>17</v>
      </c>
      <c r="F51" s="11" t="s">
        <v>182</v>
      </c>
      <c r="G51" s="12">
        <v>8</v>
      </c>
    </row>
    <row r="52" spans="1:7" ht="28" x14ac:dyDescent="0.2">
      <c r="A52" s="13" t="s">
        <v>183</v>
      </c>
      <c r="B52" s="14" t="s">
        <v>179</v>
      </c>
      <c r="C52" s="14" t="s">
        <v>184</v>
      </c>
      <c r="D52" s="14" t="s">
        <v>185</v>
      </c>
      <c r="E52" s="14" t="s">
        <v>186</v>
      </c>
      <c r="F52" s="14" t="s">
        <v>187</v>
      </c>
      <c r="G52" s="15">
        <v>8</v>
      </c>
    </row>
    <row r="53" spans="1:7" ht="28" x14ac:dyDescent="0.2">
      <c r="A53" s="10" t="s">
        <v>188</v>
      </c>
      <c r="B53" s="11" t="s">
        <v>179</v>
      </c>
      <c r="C53" s="11" t="s">
        <v>189</v>
      </c>
      <c r="D53" s="11" t="s">
        <v>190</v>
      </c>
      <c r="E53" s="11" t="s">
        <v>77</v>
      </c>
      <c r="F53" s="11" t="s">
        <v>191</v>
      </c>
      <c r="G53" s="12">
        <v>8</v>
      </c>
    </row>
    <row r="54" spans="1:7" ht="28" x14ac:dyDescent="0.2">
      <c r="A54" s="13" t="s">
        <v>192</v>
      </c>
      <c r="B54" s="14" t="s">
        <v>179</v>
      </c>
      <c r="C54" s="14" t="s">
        <v>193</v>
      </c>
      <c r="D54" s="14" t="s">
        <v>194</v>
      </c>
      <c r="E54" s="14" t="s">
        <v>195</v>
      </c>
      <c r="F54" s="14" t="s">
        <v>196</v>
      </c>
      <c r="G54" s="15">
        <v>8</v>
      </c>
    </row>
    <row r="55" spans="1:7" ht="28" x14ac:dyDescent="0.2">
      <c r="A55" s="10" t="s">
        <v>197</v>
      </c>
      <c r="B55" s="11" t="s">
        <v>179</v>
      </c>
      <c r="C55" s="11" t="s">
        <v>198</v>
      </c>
      <c r="D55" s="11" t="s">
        <v>199</v>
      </c>
      <c r="E55" s="11" t="s">
        <v>38</v>
      </c>
      <c r="F55" s="11" t="s">
        <v>200</v>
      </c>
      <c r="G55" s="12">
        <v>8</v>
      </c>
    </row>
    <row r="56" spans="1:7" ht="28" x14ac:dyDescent="0.2">
      <c r="A56" s="13" t="s">
        <v>201</v>
      </c>
      <c r="B56" s="14" t="s">
        <v>179</v>
      </c>
      <c r="C56" s="14" t="s">
        <v>202</v>
      </c>
      <c r="D56" s="14" t="s">
        <v>203</v>
      </c>
      <c r="E56" s="14" t="s">
        <v>38</v>
      </c>
      <c r="F56" s="14" t="s">
        <v>182</v>
      </c>
      <c r="G56" s="15">
        <v>8</v>
      </c>
    </row>
    <row r="57" spans="1:7" ht="28" x14ac:dyDescent="0.2">
      <c r="A57" s="10" t="s">
        <v>204</v>
      </c>
      <c r="B57" s="11" t="s">
        <v>179</v>
      </c>
      <c r="C57" s="11" t="s">
        <v>205</v>
      </c>
      <c r="D57" s="11" t="s">
        <v>206</v>
      </c>
      <c r="E57" s="11" t="s">
        <v>38</v>
      </c>
      <c r="F57" s="11" t="s">
        <v>207</v>
      </c>
      <c r="G57" s="12">
        <v>8</v>
      </c>
    </row>
    <row r="58" spans="1:7" ht="28" x14ac:dyDescent="0.2">
      <c r="A58" s="13" t="s">
        <v>208</v>
      </c>
      <c r="B58" s="14" t="s">
        <v>179</v>
      </c>
      <c r="C58" s="14" t="s">
        <v>209</v>
      </c>
      <c r="D58" s="14" t="s">
        <v>210</v>
      </c>
      <c r="E58" s="14" t="s">
        <v>211</v>
      </c>
      <c r="F58" s="14" t="s">
        <v>191</v>
      </c>
      <c r="G58" s="15">
        <v>8</v>
      </c>
    </row>
    <row r="60" spans="1:7" x14ac:dyDescent="0.2">
      <c r="A60" s="8" t="s">
        <v>212</v>
      </c>
      <c r="B60" s="8"/>
      <c r="C60" s="8"/>
      <c r="D60" s="8"/>
      <c r="E60" s="8"/>
      <c r="F60" s="8"/>
      <c r="G60" s="8"/>
    </row>
    <row r="61" spans="1:7" ht="28" x14ac:dyDescent="0.2">
      <c r="A61" s="10" t="s">
        <v>213</v>
      </c>
      <c r="B61" s="11" t="s">
        <v>214</v>
      </c>
      <c r="C61" s="11" t="s">
        <v>215</v>
      </c>
      <c r="D61" s="11" t="s">
        <v>216</v>
      </c>
      <c r="E61" s="11" t="s">
        <v>217</v>
      </c>
      <c r="F61" s="11" t="s">
        <v>218</v>
      </c>
      <c r="G61" s="12">
        <v>9</v>
      </c>
    </row>
    <row r="62" spans="1:7" ht="28" x14ac:dyDescent="0.2">
      <c r="A62" s="13" t="s">
        <v>219</v>
      </c>
      <c r="B62" s="14" t="s">
        <v>214</v>
      </c>
      <c r="C62" s="14" t="s">
        <v>220</v>
      </c>
      <c r="D62" s="14" t="s">
        <v>221</v>
      </c>
      <c r="E62" s="14" t="s">
        <v>77</v>
      </c>
      <c r="F62" s="14" t="s">
        <v>218</v>
      </c>
      <c r="G62" s="15">
        <v>9</v>
      </c>
    </row>
    <row r="63" spans="1:7" ht="28" x14ac:dyDescent="0.2">
      <c r="A63" s="10" t="s">
        <v>222</v>
      </c>
      <c r="B63" s="11" t="s">
        <v>214</v>
      </c>
      <c r="C63" s="11" t="s">
        <v>223</v>
      </c>
      <c r="D63" s="11" t="s">
        <v>224</v>
      </c>
      <c r="E63" s="11" t="s">
        <v>90</v>
      </c>
      <c r="F63" s="11" t="s">
        <v>218</v>
      </c>
      <c r="G63" s="12">
        <v>9</v>
      </c>
    </row>
    <row r="64" spans="1:7" ht="28" x14ac:dyDescent="0.2">
      <c r="A64" s="13" t="s">
        <v>225</v>
      </c>
      <c r="B64" s="14" t="s">
        <v>214</v>
      </c>
      <c r="C64" s="14" t="s">
        <v>226</v>
      </c>
      <c r="D64" s="14" t="s">
        <v>227</v>
      </c>
      <c r="E64" s="14" t="s">
        <v>124</v>
      </c>
      <c r="F64" s="14" t="s">
        <v>218</v>
      </c>
      <c r="G64" s="15">
        <v>9</v>
      </c>
    </row>
    <row r="65" spans="1:7" ht="42" x14ac:dyDescent="0.2">
      <c r="A65" s="10" t="s">
        <v>228</v>
      </c>
      <c r="B65" s="11" t="s">
        <v>214</v>
      </c>
      <c r="C65" s="11" t="s">
        <v>229</v>
      </c>
      <c r="D65" s="11" t="s">
        <v>230</v>
      </c>
      <c r="E65" s="11" t="s">
        <v>124</v>
      </c>
      <c r="F65" s="11" t="s">
        <v>231</v>
      </c>
      <c r="G65" s="12">
        <v>9</v>
      </c>
    </row>
    <row r="66" spans="1:7" ht="28" x14ac:dyDescent="0.2">
      <c r="A66" s="13" t="s">
        <v>232</v>
      </c>
      <c r="B66" s="14" t="s">
        <v>214</v>
      </c>
      <c r="C66" s="14" t="s">
        <v>233</v>
      </c>
      <c r="D66" s="14" t="s">
        <v>234</v>
      </c>
      <c r="E66" s="14" t="s">
        <v>38</v>
      </c>
      <c r="F66" s="14" t="s">
        <v>218</v>
      </c>
      <c r="G66" s="15">
        <v>9</v>
      </c>
    </row>
    <row r="67" spans="1:7" ht="28" x14ac:dyDescent="0.2">
      <c r="A67" s="10" t="s">
        <v>235</v>
      </c>
      <c r="B67" s="11" t="s">
        <v>214</v>
      </c>
      <c r="C67" s="11" t="s">
        <v>236</v>
      </c>
      <c r="D67" s="11" t="s">
        <v>237</v>
      </c>
      <c r="E67" s="11" t="s">
        <v>238</v>
      </c>
      <c r="F67" s="11" t="s">
        <v>239</v>
      </c>
      <c r="G67" s="12">
        <v>9</v>
      </c>
    </row>
    <row r="68" spans="1:7" ht="28" x14ac:dyDescent="0.2">
      <c r="A68" s="13" t="s">
        <v>240</v>
      </c>
      <c r="B68" s="14" t="s">
        <v>214</v>
      </c>
      <c r="C68" s="14" t="s">
        <v>241</v>
      </c>
      <c r="D68" s="14" t="s">
        <v>242</v>
      </c>
      <c r="E68" s="14" t="s">
        <v>243</v>
      </c>
      <c r="F68" s="14" t="s">
        <v>218</v>
      </c>
      <c r="G68" s="15">
        <v>9</v>
      </c>
    </row>
    <row r="69" spans="1:7" ht="28" x14ac:dyDescent="0.2">
      <c r="A69" s="10" t="s">
        <v>244</v>
      </c>
      <c r="B69" s="11" t="s">
        <v>214</v>
      </c>
      <c r="C69" s="11" t="s">
        <v>245</v>
      </c>
      <c r="D69" s="11" t="s">
        <v>246</v>
      </c>
      <c r="E69" s="11" t="s">
        <v>247</v>
      </c>
      <c r="F69" s="11" t="s">
        <v>248</v>
      </c>
      <c r="G69" s="12">
        <v>9</v>
      </c>
    </row>
    <row r="71" spans="1:7" x14ac:dyDescent="0.2">
      <c r="A71" s="8" t="s">
        <v>249</v>
      </c>
      <c r="B71" s="8"/>
      <c r="C71" s="8"/>
      <c r="D71" s="8"/>
      <c r="E71" s="8"/>
      <c r="F71" s="8"/>
      <c r="G71" s="8"/>
    </row>
    <row r="72" spans="1:7" ht="28" x14ac:dyDescent="0.2">
      <c r="A72" s="10" t="s">
        <v>250</v>
      </c>
      <c r="B72" s="11" t="s">
        <v>251</v>
      </c>
      <c r="C72" s="11" t="s">
        <v>252</v>
      </c>
      <c r="D72" s="11" t="s">
        <v>253</v>
      </c>
      <c r="E72" s="11" t="s">
        <v>17</v>
      </c>
      <c r="F72" s="11" t="s">
        <v>254</v>
      </c>
      <c r="G72" s="12">
        <v>8</v>
      </c>
    </row>
    <row r="73" spans="1:7" ht="28" x14ac:dyDescent="0.2">
      <c r="A73" s="13" t="s">
        <v>255</v>
      </c>
      <c r="B73" s="14" t="s">
        <v>251</v>
      </c>
      <c r="C73" s="14" t="s">
        <v>256</v>
      </c>
      <c r="D73" s="14" t="s">
        <v>257</v>
      </c>
      <c r="E73" s="14" t="s">
        <v>77</v>
      </c>
      <c r="F73" s="14" t="s">
        <v>258</v>
      </c>
      <c r="G73" s="15">
        <v>8</v>
      </c>
    </row>
    <row r="74" spans="1:7" ht="28" x14ac:dyDescent="0.2">
      <c r="A74" s="10" t="s">
        <v>259</v>
      </c>
      <c r="B74" s="11" t="s">
        <v>251</v>
      </c>
      <c r="C74" s="11" t="s">
        <v>260</v>
      </c>
      <c r="D74" s="11" t="s">
        <v>261</v>
      </c>
      <c r="E74" s="11" t="s">
        <v>77</v>
      </c>
      <c r="F74" s="11" t="s">
        <v>258</v>
      </c>
      <c r="G74" s="12">
        <v>8</v>
      </c>
    </row>
    <row r="75" spans="1:7" ht="28" x14ac:dyDescent="0.2">
      <c r="A75" s="13" t="s">
        <v>262</v>
      </c>
      <c r="B75" s="14" t="s">
        <v>251</v>
      </c>
      <c r="C75" s="14" t="s">
        <v>263</v>
      </c>
      <c r="D75" s="14" t="s">
        <v>264</v>
      </c>
      <c r="E75" s="14" t="s">
        <v>90</v>
      </c>
      <c r="F75" s="14" t="s">
        <v>258</v>
      </c>
      <c r="G75" s="15">
        <v>8</v>
      </c>
    </row>
    <row r="76" spans="1:7" ht="42" x14ac:dyDescent="0.2">
      <c r="A76" s="10" t="s">
        <v>265</v>
      </c>
      <c r="B76" s="11" t="s">
        <v>251</v>
      </c>
      <c r="C76" s="11" t="s">
        <v>266</v>
      </c>
      <c r="D76" s="11" t="s">
        <v>267</v>
      </c>
      <c r="E76" s="11" t="s">
        <v>17</v>
      </c>
      <c r="F76" s="11" t="s">
        <v>254</v>
      </c>
      <c r="G76" s="12">
        <v>8</v>
      </c>
    </row>
    <row r="77" spans="1:7" ht="28" x14ac:dyDescent="0.2">
      <c r="A77" s="13" t="s">
        <v>268</v>
      </c>
      <c r="B77" s="14" t="s">
        <v>251</v>
      </c>
      <c r="C77" s="14" t="s">
        <v>269</v>
      </c>
      <c r="D77" s="14" t="s">
        <v>270</v>
      </c>
      <c r="E77" s="14" t="s">
        <v>271</v>
      </c>
      <c r="F77" s="14" t="s">
        <v>258</v>
      </c>
      <c r="G77" s="15">
        <v>8</v>
      </c>
    </row>
    <row r="78" spans="1:7" ht="28" x14ac:dyDescent="0.2">
      <c r="A78" s="10" t="s">
        <v>272</v>
      </c>
      <c r="B78" s="11" t="s">
        <v>251</v>
      </c>
      <c r="C78" s="11" t="s">
        <v>273</v>
      </c>
      <c r="D78" s="11" t="s">
        <v>274</v>
      </c>
      <c r="E78" s="11" t="s">
        <v>77</v>
      </c>
      <c r="F78" s="11" t="s">
        <v>275</v>
      </c>
      <c r="G78" s="12">
        <v>8</v>
      </c>
    </row>
    <row r="79" spans="1:7" ht="42" x14ac:dyDescent="0.2">
      <c r="A79" s="13" t="s">
        <v>276</v>
      </c>
      <c r="B79" s="14" t="s">
        <v>251</v>
      </c>
      <c r="C79" s="14" t="s">
        <v>277</v>
      </c>
      <c r="D79" s="14" t="s">
        <v>278</v>
      </c>
      <c r="E79" s="14" t="s">
        <v>279</v>
      </c>
      <c r="F79" s="14" t="s">
        <v>258</v>
      </c>
      <c r="G79" s="15">
        <v>8</v>
      </c>
    </row>
    <row r="81" spans="1:7" x14ac:dyDescent="0.2">
      <c r="A81" s="8" t="s">
        <v>280</v>
      </c>
      <c r="B81" s="8"/>
      <c r="C81" s="8"/>
      <c r="D81" s="8"/>
      <c r="E81" s="8"/>
      <c r="F81" s="8"/>
      <c r="G81" s="8"/>
    </row>
    <row r="82" spans="1:7" ht="42" x14ac:dyDescent="0.2">
      <c r="A82" s="10" t="s">
        <v>281</v>
      </c>
      <c r="B82" s="11" t="s">
        <v>282</v>
      </c>
      <c r="C82" s="11" t="s">
        <v>283</v>
      </c>
      <c r="D82" s="11" t="s">
        <v>284</v>
      </c>
      <c r="E82" s="11" t="s">
        <v>285</v>
      </c>
      <c r="F82" s="11" t="s">
        <v>286</v>
      </c>
      <c r="G82" s="12">
        <v>7</v>
      </c>
    </row>
    <row r="83" spans="1:7" ht="42" x14ac:dyDescent="0.2">
      <c r="A83" s="13" t="s">
        <v>287</v>
      </c>
      <c r="B83" s="14" t="s">
        <v>282</v>
      </c>
      <c r="C83" s="14" t="s">
        <v>288</v>
      </c>
      <c r="D83" s="14" t="s">
        <v>289</v>
      </c>
      <c r="E83" s="14" t="s">
        <v>77</v>
      </c>
      <c r="F83" s="14" t="s">
        <v>290</v>
      </c>
      <c r="G83" s="15">
        <v>7</v>
      </c>
    </row>
    <row r="84" spans="1:7" ht="42" x14ac:dyDescent="0.2">
      <c r="A84" s="10" t="s">
        <v>291</v>
      </c>
      <c r="B84" s="11" t="s">
        <v>282</v>
      </c>
      <c r="C84" s="11" t="s">
        <v>292</v>
      </c>
      <c r="D84" s="11" t="s">
        <v>293</v>
      </c>
      <c r="E84" s="11" t="s">
        <v>294</v>
      </c>
      <c r="F84" s="11" t="s">
        <v>295</v>
      </c>
      <c r="G84" s="12">
        <v>7</v>
      </c>
    </row>
    <row r="85" spans="1:7" ht="42" x14ac:dyDescent="0.2">
      <c r="A85" s="13" t="s">
        <v>296</v>
      </c>
      <c r="B85" s="14" t="s">
        <v>282</v>
      </c>
      <c r="C85" s="14" t="s">
        <v>297</v>
      </c>
      <c r="D85" s="14" t="s">
        <v>298</v>
      </c>
      <c r="E85" s="14" t="s">
        <v>299</v>
      </c>
      <c r="F85" s="14" t="s">
        <v>290</v>
      </c>
      <c r="G85" s="15">
        <v>7</v>
      </c>
    </row>
    <row r="86" spans="1:7" ht="42" x14ac:dyDescent="0.2">
      <c r="A86" s="10" t="s">
        <v>300</v>
      </c>
      <c r="B86" s="11" t="s">
        <v>282</v>
      </c>
      <c r="C86" s="11" t="s">
        <v>301</v>
      </c>
      <c r="D86" s="11" t="s">
        <v>302</v>
      </c>
      <c r="E86" s="11" t="s">
        <v>243</v>
      </c>
      <c r="F86" s="11" t="s">
        <v>303</v>
      </c>
      <c r="G86" s="12">
        <v>7</v>
      </c>
    </row>
    <row r="87" spans="1:7" ht="42" x14ac:dyDescent="0.2">
      <c r="A87" s="13" t="s">
        <v>304</v>
      </c>
      <c r="B87" s="14" t="s">
        <v>282</v>
      </c>
      <c r="C87" s="14" t="s">
        <v>305</v>
      </c>
      <c r="D87" s="14" t="s">
        <v>306</v>
      </c>
      <c r="E87" s="14" t="s">
        <v>238</v>
      </c>
      <c r="F87" s="14" t="s">
        <v>286</v>
      </c>
      <c r="G87" s="15">
        <v>7</v>
      </c>
    </row>
    <row r="88" spans="1:7" ht="42" x14ac:dyDescent="0.2">
      <c r="A88" s="10" t="s">
        <v>307</v>
      </c>
      <c r="B88" s="11" t="s">
        <v>282</v>
      </c>
      <c r="C88" s="11" t="s">
        <v>308</v>
      </c>
      <c r="D88" s="11" t="s">
        <v>309</v>
      </c>
      <c r="E88" s="11" t="s">
        <v>238</v>
      </c>
      <c r="F88" s="11" t="s">
        <v>290</v>
      </c>
      <c r="G88" s="12">
        <v>7</v>
      </c>
    </row>
    <row r="90" spans="1:7" x14ac:dyDescent="0.2">
      <c r="A90" s="8" t="s">
        <v>310</v>
      </c>
      <c r="B90" s="8"/>
      <c r="C90" s="8"/>
      <c r="D90" s="8"/>
      <c r="E90" s="8"/>
      <c r="F90" s="8"/>
      <c r="G90" s="8"/>
    </row>
    <row r="91" spans="1:7" ht="28" x14ac:dyDescent="0.2">
      <c r="A91" s="10" t="s">
        <v>311</v>
      </c>
      <c r="B91" s="11" t="s">
        <v>312</v>
      </c>
      <c r="C91" s="11" t="s">
        <v>313</v>
      </c>
      <c r="D91" s="11" t="s">
        <v>314</v>
      </c>
      <c r="E91" s="11" t="s">
        <v>315</v>
      </c>
      <c r="F91" s="11" t="s">
        <v>316</v>
      </c>
      <c r="G91" s="12">
        <v>9</v>
      </c>
    </row>
    <row r="92" spans="1:7" ht="28" x14ac:dyDescent="0.2">
      <c r="A92" s="13" t="s">
        <v>317</v>
      </c>
      <c r="B92" s="14" t="s">
        <v>312</v>
      </c>
      <c r="C92" s="14" t="s">
        <v>318</v>
      </c>
      <c r="D92" s="14" t="s">
        <v>319</v>
      </c>
      <c r="E92" s="14" t="s">
        <v>320</v>
      </c>
      <c r="F92" s="14" t="s">
        <v>321</v>
      </c>
      <c r="G92" s="15">
        <v>9</v>
      </c>
    </row>
    <row r="93" spans="1:7" ht="28" x14ac:dyDescent="0.2">
      <c r="A93" s="10" t="s">
        <v>322</v>
      </c>
      <c r="B93" s="11" t="s">
        <v>312</v>
      </c>
      <c r="C93" s="11" t="s">
        <v>323</v>
      </c>
      <c r="D93" s="11" t="s">
        <v>324</v>
      </c>
      <c r="E93" s="11" t="s">
        <v>77</v>
      </c>
      <c r="F93" s="11" t="s">
        <v>316</v>
      </c>
      <c r="G93" s="12">
        <v>9</v>
      </c>
    </row>
    <row r="94" spans="1:7" ht="28" x14ac:dyDescent="0.2">
      <c r="A94" s="13" t="s">
        <v>325</v>
      </c>
      <c r="B94" s="14" t="s">
        <v>312</v>
      </c>
      <c r="C94" s="14" t="s">
        <v>326</v>
      </c>
      <c r="D94" s="14" t="s">
        <v>327</v>
      </c>
      <c r="E94" s="14" t="s">
        <v>328</v>
      </c>
      <c r="F94" s="14" t="s">
        <v>329</v>
      </c>
      <c r="G94" s="15">
        <v>9</v>
      </c>
    </row>
    <row r="95" spans="1:7" ht="28" x14ac:dyDescent="0.2">
      <c r="A95" s="10" t="s">
        <v>330</v>
      </c>
      <c r="B95" s="11" t="s">
        <v>312</v>
      </c>
      <c r="C95" s="11" t="s">
        <v>331</v>
      </c>
      <c r="D95" s="11" t="s">
        <v>332</v>
      </c>
      <c r="E95" s="11" t="s">
        <v>333</v>
      </c>
      <c r="F95" s="11" t="s">
        <v>334</v>
      </c>
      <c r="G95" s="12">
        <v>9</v>
      </c>
    </row>
    <row r="96" spans="1:7" ht="42" x14ac:dyDescent="0.2">
      <c r="A96" s="13" t="s">
        <v>335</v>
      </c>
      <c r="B96" s="14" t="s">
        <v>312</v>
      </c>
      <c r="C96" s="14" t="s">
        <v>336</v>
      </c>
      <c r="D96" s="14" t="s">
        <v>337</v>
      </c>
      <c r="E96" s="14" t="s">
        <v>243</v>
      </c>
      <c r="F96" s="14" t="s">
        <v>338</v>
      </c>
      <c r="G96" s="15">
        <v>9</v>
      </c>
    </row>
    <row r="97" spans="1:7" ht="28" x14ac:dyDescent="0.2">
      <c r="A97" s="10" t="s">
        <v>339</v>
      </c>
      <c r="B97" s="11" t="s">
        <v>312</v>
      </c>
      <c r="C97" s="11" t="s">
        <v>340</v>
      </c>
      <c r="D97" s="11" t="s">
        <v>341</v>
      </c>
      <c r="E97" s="11" t="s">
        <v>342</v>
      </c>
      <c r="F97" s="11" t="s">
        <v>343</v>
      </c>
      <c r="G97" s="12">
        <v>9</v>
      </c>
    </row>
    <row r="98" spans="1:7" ht="42" x14ac:dyDescent="0.2">
      <c r="A98" s="13" t="s">
        <v>344</v>
      </c>
      <c r="B98" s="14" t="s">
        <v>312</v>
      </c>
      <c r="C98" s="14" t="s">
        <v>345</v>
      </c>
      <c r="D98" s="14" t="s">
        <v>346</v>
      </c>
      <c r="E98" s="14" t="s">
        <v>347</v>
      </c>
      <c r="F98" s="14" t="s">
        <v>348</v>
      </c>
      <c r="G98" s="15">
        <v>9</v>
      </c>
    </row>
    <row r="99" spans="1:7" ht="42" x14ac:dyDescent="0.2">
      <c r="A99" s="10" t="s">
        <v>349</v>
      </c>
      <c r="B99" s="11" t="s">
        <v>312</v>
      </c>
      <c r="C99" s="11" t="s">
        <v>350</v>
      </c>
      <c r="D99" s="11" t="s">
        <v>351</v>
      </c>
      <c r="E99" s="11" t="s">
        <v>352</v>
      </c>
      <c r="F99" s="11" t="s">
        <v>353</v>
      </c>
      <c r="G99" s="12">
        <v>9</v>
      </c>
    </row>
    <row r="101" spans="1:7" x14ac:dyDescent="0.2">
      <c r="A101" s="8" t="s">
        <v>354</v>
      </c>
      <c r="B101" s="8"/>
      <c r="C101" s="8"/>
      <c r="D101" s="8"/>
      <c r="E101" s="8"/>
      <c r="F101" s="8"/>
      <c r="G101" s="8"/>
    </row>
    <row r="102" spans="1:7" ht="28" x14ac:dyDescent="0.2">
      <c r="A102" s="10" t="s">
        <v>355</v>
      </c>
      <c r="B102" s="11" t="s">
        <v>356</v>
      </c>
      <c r="C102" s="11" t="s">
        <v>357</v>
      </c>
      <c r="D102" s="11" t="s">
        <v>358</v>
      </c>
      <c r="E102" s="11" t="s">
        <v>359</v>
      </c>
      <c r="F102" s="11" t="s">
        <v>360</v>
      </c>
      <c r="G102" s="12">
        <v>8</v>
      </c>
    </row>
    <row r="103" spans="1:7" ht="42" x14ac:dyDescent="0.2">
      <c r="A103" s="13" t="s">
        <v>361</v>
      </c>
      <c r="B103" s="14" t="s">
        <v>356</v>
      </c>
      <c r="C103" s="14" t="s">
        <v>362</v>
      </c>
      <c r="D103" s="14" t="s">
        <v>363</v>
      </c>
      <c r="E103" s="14" t="s">
        <v>247</v>
      </c>
      <c r="F103" s="14" t="s">
        <v>360</v>
      </c>
      <c r="G103" s="15">
        <v>8</v>
      </c>
    </row>
    <row r="104" spans="1:7" ht="28" x14ac:dyDescent="0.2">
      <c r="A104" s="10" t="s">
        <v>364</v>
      </c>
      <c r="B104" s="11" t="s">
        <v>356</v>
      </c>
      <c r="C104" s="11" t="s">
        <v>365</v>
      </c>
      <c r="D104" s="11" t="s">
        <v>366</v>
      </c>
      <c r="E104" s="11" t="s">
        <v>320</v>
      </c>
      <c r="F104" s="11" t="s">
        <v>360</v>
      </c>
      <c r="G104" s="12">
        <v>8</v>
      </c>
    </row>
    <row r="105" spans="1:7" ht="28" x14ac:dyDescent="0.2">
      <c r="A105" s="13" t="s">
        <v>367</v>
      </c>
      <c r="B105" s="14" t="s">
        <v>356</v>
      </c>
      <c r="C105" s="14" t="s">
        <v>368</v>
      </c>
      <c r="D105" s="14" t="s">
        <v>369</v>
      </c>
      <c r="E105" s="14" t="s">
        <v>17</v>
      </c>
      <c r="F105" s="14" t="s">
        <v>370</v>
      </c>
      <c r="G105" s="15">
        <v>8</v>
      </c>
    </row>
    <row r="106" spans="1:7" ht="28" x14ac:dyDescent="0.2">
      <c r="A106" s="10" t="s">
        <v>371</v>
      </c>
      <c r="B106" s="11" t="s">
        <v>356</v>
      </c>
      <c r="C106" s="11" t="s">
        <v>372</v>
      </c>
      <c r="D106" s="11" t="s">
        <v>373</v>
      </c>
      <c r="E106" s="11" t="s">
        <v>17</v>
      </c>
      <c r="F106" s="11" t="s">
        <v>374</v>
      </c>
      <c r="G106" s="12">
        <v>8</v>
      </c>
    </row>
    <row r="107" spans="1:7" ht="28" x14ac:dyDescent="0.2">
      <c r="A107" s="13" t="s">
        <v>375</v>
      </c>
      <c r="B107" s="14" t="s">
        <v>356</v>
      </c>
      <c r="C107" s="14" t="s">
        <v>376</v>
      </c>
      <c r="D107" s="14" t="s">
        <v>377</v>
      </c>
      <c r="E107" s="14" t="s">
        <v>17</v>
      </c>
      <c r="F107" s="14" t="s">
        <v>378</v>
      </c>
      <c r="G107" s="15">
        <v>8</v>
      </c>
    </row>
    <row r="108" spans="1:7" ht="28" x14ac:dyDescent="0.2">
      <c r="A108" s="10" t="s">
        <v>379</v>
      </c>
      <c r="B108" s="11" t="s">
        <v>356</v>
      </c>
      <c r="C108" s="11" t="s">
        <v>380</v>
      </c>
      <c r="D108" s="11" t="s">
        <v>381</v>
      </c>
      <c r="E108" s="11" t="s">
        <v>17</v>
      </c>
      <c r="F108" s="11" t="s">
        <v>382</v>
      </c>
      <c r="G108" s="12">
        <v>8</v>
      </c>
    </row>
    <row r="109" spans="1:7" ht="28" x14ac:dyDescent="0.2">
      <c r="A109" s="13" t="s">
        <v>383</v>
      </c>
      <c r="B109" s="14" t="s">
        <v>356</v>
      </c>
      <c r="C109" s="14" t="s">
        <v>384</v>
      </c>
      <c r="D109" s="14" t="s">
        <v>385</v>
      </c>
      <c r="E109" s="14" t="s">
        <v>17</v>
      </c>
      <c r="F109" s="14" t="s">
        <v>360</v>
      </c>
      <c r="G109" s="15">
        <v>8</v>
      </c>
    </row>
    <row r="111" spans="1:7" x14ac:dyDescent="0.2">
      <c r="A111" s="8" t="s">
        <v>386</v>
      </c>
      <c r="B111" s="8"/>
      <c r="C111" s="8"/>
      <c r="D111" s="8"/>
      <c r="E111" s="8"/>
      <c r="F111" s="8"/>
      <c r="G111" s="8"/>
    </row>
    <row r="112" spans="1:7" ht="28" x14ac:dyDescent="0.2">
      <c r="A112" s="10" t="s">
        <v>387</v>
      </c>
      <c r="B112" s="11" t="s">
        <v>388</v>
      </c>
      <c r="C112" s="11" t="s">
        <v>389</v>
      </c>
      <c r="D112" s="11" t="s">
        <v>390</v>
      </c>
      <c r="E112" s="11" t="s">
        <v>17</v>
      </c>
      <c r="F112" s="11" t="s">
        <v>391</v>
      </c>
      <c r="G112" s="12">
        <v>9</v>
      </c>
    </row>
    <row r="113" spans="1:7" ht="28" x14ac:dyDescent="0.2">
      <c r="A113" s="13" t="s">
        <v>392</v>
      </c>
      <c r="B113" s="14" t="s">
        <v>388</v>
      </c>
      <c r="C113" s="14" t="s">
        <v>393</v>
      </c>
      <c r="D113" s="14" t="s">
        <v>394</v>
      </c>
      <c r="E113" s="14" t="s">
        <v>17</v>
      </c>
      <c r="F113" s="14" t="s">
        <v>395</v>
      </c>
      <c r="G113" s="15">
        <v>9</v>
      </c>
    </row>
    <row r="114" spans="1:7" ht="28" x14ac:dyDescent="0.2">
      <c r="A114" s="10" t="s">
        <v>396</v>
      </c>
      <c r="B114" s="11" t="s">
        <v>388</v>
      </c>
      <c r="C114" s="11" t="s">
        <v>397</v>
      </c>
      <c r="D114" s="11" t="s">
        <v>398</v>
      </c>
      <c r="E114" s="11" t="s">
        <v>77</v>
      </c>
      <c r="F114" s="11" t="s">
        <v>391</v>
      </c>
      <c r="G114" s="12">
        <v>9</v>
      </c>
    </row>
    <row r="115" spans="1:7" ht="28" x14ac:dyDescent="0.2">
      <c r="A115" s="13" t="s">
        <v>399</v>
      </c>
      <c r="B115" s="14" t="s">
        <v>388</v>
      </c>
      <c r="C115" s="14" t="s">
        <v>400</v>
      </c>
      <c r="D115" s="14" t="s">
        <v>401</v>
      </c>
      <c r="E115" s="14" t="s">
        <v>77</v>
      </c>
      <c r="F115" s="14" t="s">
        <v>391</v>
      </c>
      <c r="G115" s="15">
        <v>9</v>
      </c>
    </row>
    <row r="116" spans="1:7" ht="28" x14ac:dyDescent="0.2">
      <c r="A116" s="10" t="s">
        <v>402</v>
      </c>
      <c r="B116" s="11" t="s">
        <v>388</v>
      </c>
      <c r="C116" s="11" t="s">
        <v>403</v>
      </c>
      <c r="D116" s="11" t="s">
        <v>404</v>
      </c>
      <c r="E116" s="11" t="s">
        <v>405</v>
      </c>
      <c r="F116" s="11" t="s">
        <v>406</v>
      </c>
      <c r="G116" s="12">
        <v>9</v>
      </c>
    </row>
    <row r="117" spans="1:7" ht="28" x14ac:dyDescent="0.2">
      <c r="A117" s="13" t="s">
        <v>407</v>
      </c>
      <c r="B117" s="14" t="s">
        <v>388</v>
      </c>
      <c r="C117" s="14" t="s">
        <v>376</v>
      </c>
      <c r="D117" s="14" t="s">
        <v>408</v>
      </c>
      <c r="E117" s="14" t="s">
        <v>17</v>
      </c>
      <c r="F117" s="14" t="s">
        <v>409</v>
      </c>
      <c r="G117" s="15">
        <v>9</v>
      </c>
    </row>
    <row r="118" spans="1:7" ht="28" x14ac:dyDescent="0.2">
      <c r="A118" s="10" t="s">
        <v>410</v>
      </c>
      <c r="B118" s="11" t="s">
        <v>388</v>
      </c>
      <c r="C118" s="11" t="s">
        <v>411</v>
      </c>
      <c r="D118" s="11" t="s">
        <v>412</v>
      </c>
      <c r="E118" s="11" t="s">
        <v>17</v>
      </c>
      <c r="F118" s="11" t="s">
        <v>413</v>
      </c>
      <c r="G118" s="12">
        <v>9</v>
      </c>
    </row>
    <row r="119" spans="1:7" ht="42" x14ac:dyDescent="0.2">
      <c r="A119" s="13" t="s">
        <v>414</v>
      </c>
      <c r="B119" s="14" t="s">
        <v>388</v>
      </c>
      <c r="C119" s="14" t="s">
        <v>415</v>
      </c>
      <c r="D119" s="14" t="s">
        <v>416</v>
      </c>
      <c r="E119" s="14" t="s">
        <v>279</v>
      </c>
      <c r="F119" s="14" t="s">
        <v>417</v>
      </c>
      <c r="G119" s="15">
        <v>9</v>
      </c>
    </row>
    <row r="120" spans="1:7" ht="42" x14ac:dyDescent="0.2">
      <c r="A120" s="10" t="s">
        <v>418</v>
      </c>
      <c r="B120" s="11" t="s">
        <v>388</v>
      </c>
      <c r="C120" s="11" t="s">
        <v>419</v>
      </c>
      <c r="D120" s="11" t="s">
        <v>420</v>
      </c>
      <c r="E120" s="11" t="s">
        <v>38</v>
      </c>
      <c r="F120" s="11" t="s">
        <v>391</v>
      </c>
      <c r="G120" s="12">
        <v>9</v>
      </c>
    </row>
    <row r="122" spans="1:7" x14ac:dyDescent="0.2">
      <c r="A122" s="8" t="s">
        <v>421</v>
      </c>
      <c r="B122" s="8"/>
      <c r="C122" s="8"/>
      <c r="D122" s="8"/>
      <c r="E122" s="8"/>
      <c r="F122" s="8"/>
      <c r="G122" s="8"/>
    </row>
    <row r="123" spans="1:7" ht="28" x14ac:dyDescent="0.2">
      <c r="A123" s="10" t="s">
        <v>422</v>
      </c>
      <c r="B123" s="11" t="s">
        <v>423</v>
      </c>
      <c r="C123" s="11" t="s">
        <v>424</v>
      </c>
      <c r="D123" s="11" t="s">
        <v>425</v>
      </c>
      <c r="E123" s="11" t="s">
        <v>17</v>
      </c>
      <c r="F123" s="11" t="s">
        <v>426</v>
      </c>
      <c r="G123" s="12">
        <v>7</v>
      </c>
    </row>
    <row r="124" spans="1:7" ht="28" x14ac:dyDescent="0.2">
      <c r="A124" s="13" t="s">
        <v>427</v>
      </c>
      <c r="B124" s="14" t="s">
        <v>423</v>
      </c>
      <c r="C124" s="14" t="s">
        <v>428</v>
      </c>
      <c r="D124" s="14" t="s">
        <v>429</v>
      </c>
      <c r="E124" s="14" t="s">
        <v>17</v>
      </c>
      <c r="F124" s="14" t="s">
        <v>430</v>
      </c>
      <c r="G124" s="15">
        <v>7</v>
      </c>
    </row>
    <row r="125" spans="1:7" ht="42" x14ac:dyDescent="0.2">
      <c r="A125" s="10" t="s">
        <v>431</v>
      </c>
      <c r="B125" s="11" t="s">
        <v>423</v>
      </c>
      <c r="C125" s="11" t="s">
        <v>432</v>
      </c>
      <c r="D125" s="11" t="s">
        <v>433</v>
      </c>
      <c r="E125" s="11" t="s">
        <v>434</v>
      </c>
      <c r="F125" s="11" t="s">
        <v>435</v>
      </c>
      <c r="G125" s="12">
        <v>7</v>
      </c>
    </row>
    <row r="126" spans="1:7" ht="28" x14ac:dyDescent="0.2">
      <c r="A126" s="13" t="s">
        <v>436</v>
      </c>
      <c r="B126" s="14" t="s">
        <v>423</v>
      </c>
      <c r="C126" s="14" t="s">
        <v>437</v>
      </c>
      <c r="D126" s="14" t="s">
        <v>438</v>
      </c>
      <c r="E126" s="14" t="s">
        <v>439</v>
      </c>
      <c r="F126" s="14" t="s">
        <v>440</v>
      </c>
      <c r="G126" s="15">
        <v>7</v>
      </c>
    </row>
    <row r="127" spans="1:7" ht="28" x14ac:dyDescent="0.2">
      <c r="A127" s="10" t="s">
        <v>441</v>
      </c>
      <c r="B127" s="11" t="s">
        <v>423</v>
      </c>
      <c r="C127" s="11" t="s">
        <v>442</v>
      </c>
      <c r="D127" s="11" t="s">
        <v>443</v>
      </c>
      <c r="E127" s="11" t="s">
        <v>439</v>
      </c>
      <c r="F127" s="11" t="s">
        <v>444</v>
      </c>
      <c r="G127" s="12">
        <v>7</v>
      </c>
    </row>
    <row r="128" spans="1:7" ht="28" x14ac:dyDescent="0.2">
      <c r="A128" s="13" t="s">
        <v>445</v>
      </c>
      <c r="B128" s="14" t="s">
        <v>423</v>
      </c>
      <c r="C128" s="14" t="s">
        <v>446</v>
      </c>
      <c r="D128" s="14" t="s">
        <v>447</v>
      </c>
      <c r="E128" s="14" t="s">
        <v>448</v>
      </c>
      <c r="F128" s="14" t="s">
        <v>449</v>
      </c>
      <c r="G128" s="15">
        <v>7</v>
      </c>
    </row>
    <row r="129" spans="1:7" ht="28" x14ac:dyDescent="0.2">
      <c r="A129" s="10" t="s">
        <v>450</v>
      </c>
      <c r="B129" s="11" t="s">
        <v>423</v>
      </c>
      <c r="C129" s="11" t="s">
        <v>451</v>
      </c>
      <c r="D129" s="11" t="s">
        <v>452</v>
      </c>
      <c r="E129" s="11" t="s">
        <v>38</v>
      </c>
      <c r="F129" s="11" t="s">
        <v>453</v>
      </c>
      <c r="G129" s="12">
        <v>7</v>
      </c>
    </row>
    <row r="131" spans="1:7" x14ac:dyDescent="0.2">
      <c r="A131" s="8" t="s">
        <v>454</v>
      </c>
      <c r="B131" s="8"/>
      <c r="C131" s="8"/>
      <c r="D131" s="8"/>
      <c r="E131" s="8"/>
      <c r="F131" s="8"/>
      <c r="G131" s="8"/>
    </row>
    <row r="132" spans="1:7" ht="28" x14ac:dyDescent="0.2">
      <c r="A132" s="10" t="s">
        <v>455</v>
      </c>
      <c r="B132" s="11" t="s">
        <v>456</v>
      </c>
      <c r="C132" s="11" t="s">
        <v>457</v>
      </c>
      <c r="D132" s="11" t="s">
        <v>458</v>
      </c>
      <c r="E132" s="11" t="s">
        <v>459</v>
      </c>
      <c r="F132" s="11" t="s">
        <v>449</v>
      </c>
      <c r="G132" s="12">
        <v>8</v>
      </c>
    </row>
    <row r="133" spans="1:7" ht="28" x14ac:dyDescent="0.2">
      <c r="A133" s="13" t="s">
        <v>460</v>
      </c>
      <c r="B133" s="14" t="s">
        <v>456</v>
      </c>
      <c r="C133" s="14" t="s">
        <v>461</v>
      </c>
      <c r="D133" s="14" t="s">
        <v>462</v>
      </c>
      <c r="E133" s="14" t="s">
        <v>17</v>
      </c>
      <c r="F133" s="14" t="s">
        <v>463</v>
      </c>
      <c r="G133" s="15">
        <v>8</v>
      </c>
    </row>
    <row r="134" spans="1:7" ht="42" x14ac:dyDescent="0.2">
      <c r="A134" s="10" t="s">
        <v>464</v>
      </c>
      <c r="B134" s="11" t="s">
        <v>456</v>
      </c>
      <c r="C134" s="11" t="s">
        <v>465</v>
      </c>
      <c r="D134" s="11" t="s">
        <v>466</v>
      </c>
      <c r="E134" s="11" t="s">
        <v>247</v>
      </c>
      <c r="F134" s="11" t="s">
        <v>467</v>
      </c>
      <c r="G134" s="12">
        <v>8</v>
      </c>
    </row>
    <row r="135" spans="1:7" ht="28" x14ac:dyDescent="0.2">
      <c r="A135" s="13" t="s">
        <v>468</v>
      </c>
      <c r="B135" s="14" t="s">
        <v>456</v>
      </c>
      <c r="C135" s="14" t="s">
        <v>469</v>
      </c>
      <c r="D135" s="14" t="s">
        <v>470</v>
      </c>
      <c r="E135" s="14" t="s">
        <v>77</v>
      </c>
      <c r="F135" s="14" t="s">
        <v>471</v>
      </c>
      <c r="G135" s="15">
        <v>8</v>
      </c>
    </row>
    <row r="136" spans="1:7" ht="42" x14ac:dyDescent="0.2">
      <c r="A136" s="10" t="s">
        <v>472</v>
      </c>
      <c r="B136" s="11" t="s">
        <v>456</v>
      </c>
      <c r="C136" s="11" t="s">
        <v>473</v>
      </c>
      <c r="D136" s="11" t="s">
        <v>474</v>
      </c>
      <c r="E136" s="11" t="s">
        <v>475</v>
      </c>
      <c r="F136" s="11" t="s">
        <v>476</v>
      </c>
      <c r="G136" s="12">
        <v>8</v>
      </c>
    </row>
    <row r="137" spans="1:7" ht="28" x14ac:dyDescent="0.2">
      <c r="A137" s="13" t="s">
        <v>477</v>
      </c>
      <c r="B137" s="14" t="s">
        <v>456</v>
      </c>
      <c r="C137" s="14" t="s">
        <v>478</v>
      </c>
      <c r="D137" s="14" t="s">
        <v>479</v>
      </c>
      <c r="E137" s="14" t="s">
        <v>17</v>
      </c>
      <c r="F137" s="14" t="s">
        <v>480</v>
      </c>
      <c r="G137" s="15">
        <v>8</v>
      </c>
    </row>
    <row r="138" spans="1:7" ht="28" x14ac:dyDescent="0.2">
      <c r="A138" s="10" t="s">
        <v>481</v>
      </c>
      <c r="B138" s="11" t="s">
        <v>456</v>
      </c>
      <c r="C138" s="11" t="s">
        <v>482</v>
      </c>
      <c r="D138" s="11" t="s">
        <v>483</v>
      </c>
      <c r="E138" s="11" t="s">
        <v>484</v>
      </c>
      <c r="F138" s="11" t="s">
        <v>485</v>
      </c>
      <c r="G138" s="12">
        <v>8</v>
      </c>
    </row>
    <row r="139" spans="1:7" ht="28" x14ac:dyDescent="0.2">
      <c r="A139" s="13" t="s">
        <v>486</v>
      </c>
      <c r="B139" s="14" t="s">
        <v>456</v>
      </c>
      <c r="C139" s="14" t="s">
        <v>487</v>
      </c>
      <c r="D139" s="14" t="s">
        <v>488</v>
      </c>
      <c r="E139" s="14" t="s">
        <v>247</v>
      </c>
      <c r="F139" s="14" t="s">
        <v>489</v>
      </c>
      <c r="G139" s="15">
        <v>8</v>
      </c>
    </row>
    <row r="141" spans="1:7" x14ac:dyDescent="0.2">
      <c r="A141" s="8" t="s">
        <v>490</v>
      </c>
      <c r="B141" s="8"/>
      <c r="C141" s="8"/>
      <c r="D141" s="8"/>
      <c r="E141" s="8"/>
      <c r="F141" s="8"/>
      <c r="G141" s="8"/>
    </row>
    <row r="142" spans="1:7" ht="42" x14ac:dyDescent="0.2">
      <c r="A142" s="10" t="s">
        <v>491</v>
      </c>
      <c r="B142" s="11" t="s">
        <v>492</v>
      </c>
      <c r="C142" s="11" t="s">
        <v>493</v>
      </c>
      <c r="D142" s="11" t="s">
        <v>494</v>
      </c>
      <c r="E142" s="11" t="s">
        <v>495</v>
      </c>
      <c r="F142" s="11" t="s">
        <v>496</v>
      </c>
      <c r="G142" s="12">
        <v>8</v>
      </c>
    </row>
    <row r="143" spans="1:7" ht="42" x14ac:dyDescent="0.2">
      <c r="A143" s="13" t="s">
        <v>497</v>
      </c>
      <c r="B143" s="14" t="s">
        <v>492</v>
      </c>
      <c r="C143" s="14" t="s">
        <v>498</v>
      </c>
      <c r="D143" s="14" t="s">
        <v>499</v>
      </c>
      <c r="E143" s="14" t="s">
        <v>500</v>
      </c>
      <c r="F143" s="14" t="s">
        <v>496</v>
      </c>
      <c r="G143" s="15">
        <v>8</v>
      </c>
    </row>
    <row r="144" spans="1:7" ht="42" x14ac:dyDescent="0.2">
      <c r="A144" s="10" t="s">
        <v>501</v>
      </c>
      <c r="B144" s="11" t="s">
        <v>492</v>
      </c>
      <c r="C144" s="11" t="s">
        <v>502</v>
      </c>
      <c r="D144" s="11" t="s">
        <v>503</v>
      </c>
      <c r="E144" s="11" t="s">
        <v>504</v>
      </c>
      <c r="F144" s="11" t="s">
        <v>505</v>
      </c>
      <c r="G144" s="12">
        <v>8</v>
      </c>
    </row>
    <row r="145" spans="1:7" ht="42" x14ac:dyDescent="0.2">
      <c r="A145" s="13" t="s">
        <v>506</v>
      </c>
      <c r="B145" s="14" t="s">
        <v>492</v>
      </c>
      <c r="C145" s="14" t="s">
        <v>507</v>
      </c>
      <c r="D145" s="14" t="s">
        <v>508</v>
      </c>
      <c r="E145" s="14" t="s">
        <v>90</v>
      </c>
      <c r="F145" s="14" t="s">
        <v>509</v>
      </c>
      <c r="G145" s="15">
        <v>8</v>
      </c>
    </row>
    <row r="146" spans="1:7" ht="42" x14ac:dyDescent="0.2">
      <c r="A146" s="10" t="s">
        <v>510</v>
      </c>
      <c r="B146" s="11" t="s">
        <v>492</v>
      </c>
      <c r="C146" s="11" t="s">
        <v>511</v>
      </c>
      <c r="D146" s="11" t="s">
        <v>512</v>
      </c>
      <c r="E146" s="11" t="s">
        <v>38</v>
      </c>
      <c r="F146" s="11" t="s">
        <v>513</v>
      </c>
      <c r="G146" s="12">
        <v>8</v>
      </c>
    </row>
    <row r="147" spans="1:7" ht="42" x14ac:dyDescent="0.2">
      <c r="A147" s="13" t="s">
        <v>514</v>
      </c>
      <c r="B147" s="14" t="s">
        <v>492</v>
      </c>
      <c r="C147" s="14" t="s">
        <v>515</v>
      </c>
      <c r="D147" s="14" t="s">
        <v>516</v>
      </c>
      <c r="E147" s="14" t="s">
        <v>500</v>
      </c>
      <c r="F147" s="14" t="s">
        <v>517</v>
      </c>
      <c r="G147" s="15">
        <v>8</v>
      </c>
    </row>
    <row r="148" spans="1:7" ht="42" x14ac:dyDescent="0.2">
      <c r="A148" s="10" t="s">
        <v>518</v>
      </c>
      <c r="B148" s="11" t="s">
        <v>492</v>
      </c>
      <c r="C148" s="11" t="s">
        <v>519</v>
      </c>
      <c r="D148" s="11" t="s">
        <v>520</v>
      </c>
      <c r="E148" s="11" t="s">
        <v>521</v>
      </c>
      <c r="F148" s="11" t="s">
        <v>496</v>
      </c>
      <c r="G148" s="12">
        <v>8</v>
      </c>
    </row>
    <row r="149" spans="1:7" ht="42" x14ac:dyDescent="0.2">
      <c r="A149" s="13" t="s">
        <v>522</v>
      </c>
      <c r="B149" s="14" t="s">
        <v>492</v>
      </c>
      <c r="C149" s="14" t="s">
        <v>523</v>
      </c>
      <c r="D149" s="14" t="s">
        <v>524</v>
      </c>
      <c r="E149" s="14" t="s">
        <v>525</v>
      </c>
      <c r="F149" s="14" t="s">
        <v>526</v>
      </c>
      <c r="G149" s="15">
        <v>8</v>
      </c>
    </row>
    <row r="151" spans="1:7" x14ac:dyDescent="0.2">
      <c r="A151" s="8" t="s">
        <v>527</v>
      </c>
      <c r="B151" s="8"/>
      <c r="C151" s="8"/>
      <c r="D151" s="8"/>
      <c r="E151" s="8"/>
      <c r="F151" s="8"/>
      <c r="G151" s="8"/>
    </row>
    <row r="152" spans="1:7" ht="42" x14ac:dyDescent="0.2">
      <c r="A152" s="10" t="s">
        <v>528</v>
      </c>
      <c r="B152" s="11" t="s">
        <v>529</v>
      </c>
      <c r="C152" s="11" t="s">
        <v>530</v>
      </c>
      <c r="D152" s="11" t="s">
        <v>531</v>
      </c>
      <c r="E152" s="11" t="s">
        <v>532</v>
      </c>
      <c r="F152" s="11" t="s">
        <v>533</v>
      </c>
      <c r="G152" s="12">
        <v>9</v>
      </c>
    </row>
    <row r="153" spans="1:7" ht="42" x14ac:dyDescent="0.2">
      <c r="A153" s="13" t="s">
        <v>534</v>
      </c>
      <c r="B153" s="14" t="s">
        <v>529</v>
      </c>
      <c r="C153" s="14" t="s">
        <v>535</v>
      </c>
      <c r="D153" s="14" t="s">
        <v>536</v>
      </c>
      <c r="E153" s="14" t="s">
        <v>537</v>
      </c>
      <c r="F153" s="14" t="s">
        <v>538</v>
      </c>
      <c r="G153" s="15">
        <v>9</v>
      </c>
    </row>
    <row r="154" spans="1:7" ht="42" x14ac:dyDescent="0.2">
      <c r="A154" s="10" t="s">
        <v>539</v>
      </c>
      <c r="B154" s="11" t="s">
        <v>529</v>
      </c>
      <c r="C154" s="11" t="s">
        <v>540</v>
      </c>
      <c r="D154" s="11" t="s">
        <v>541</v>
      </c>
      <c r="E154" s="11" t="s">
        <v>537</v>
      </c>
      <c r="F154" s="11" t="s">
        <v>542</v>
      </c>
      <c r="G154" s="12">
        <v>9</v>
      </c>
    </row>
    <row r="155" spans="1:7" ht="42" x14ac:dyDescent="0.2">
      <c r="A155" s="13" t="s">
        <v>543</v>
      </c>
      <c r="B155" s="14" t="s">
        <v>529</v>
      </c>
      <c r="C155" s="14" t="s">
        <v>544</v>
      </c>
      <c r="D155" s="14" t="s">
        <v>545</v>
      </c>
      <c r="E155" s="14" t="s">
        <v>17</v>
      </c>
      <c r="F155" s="14" t="s">
        <v>546</v>
      </c>
      <c r="G155" s="15">
        <v>9</v>
      </c>
    </row>
    <row r="156" spans="1:7" ht="42" x14ac:dyDescent="0.2">
      <c r="A156" s="10" t="s">
        <v>547</v>
      </c>
      <c r="B156" s="11" t="s">
        <v>529</v>
      </c>
      <c r="C156" s="11" t="s">
        <v>548</v>
      </c>
      <c r="D156" s="11" t="s">
        <v>549</v>
      </c>
      <c r="E156" s="11" t="s">
        <v>495</v>
      </c>
      <c r="F156" s="11" t="s">
        <v>550</v>
      </c>
      <c r="G156" s="12">
        <v>9</v>
      </c>
    </row>
    <row r="157" spans="1:7" ht="42" x14ac:dyDescent="0.2">
      <c r="A157" s="13" t="s">
        <v>551</v>
      </c>
      <c r="B157" s="14" t="s">
        <v>529</v>
      </c>
      <c r="C157" s="14" t="s">
        <v>552</v>
      </c>
      <c r="D157" s="14" t="s">
        <v>553</v>
      </c>
      <c r="E157" s="14" t="s">
        <v>495</v>
      </c>
      <c r="F157" s="14" t="s">
        <v>542</v>
      </c>
      <c r="G157" s="15">
        <v>9</v>
      </c>
    </row>
    <row r="158" spans="1:7" ht="42" x14ac:dyDescent="0.2">
      <c r="A158" s="10" t="s">
        <v>554</v>
      </c>
      <c r="B158" s="11" t="s">
        <v>529</v>
      </c>
      <c r="C158" s="11" t="s">
        <v>555</v>
      </c>
      <c r="D158" s="11" t="s">
        <v>556</v>
      </c>
      <c r="E158" s="11" t="s">
        <v>557</v>
      </c>
      <c r="F158" s="11" t="s">
        <v>558</v>
      </c>
      <c r="G158" s="12">
        <v>9</v>
      </c>
    </row>
    <row r="159" spans="1:7" ht="42" x14ac:dyDescent="0.2">
      <c r="A159" s="13" t="s">
        <v>559</v>
      </c>
      <c r="B159" s="14" t="s">
        <v>529</v>
      </c>
      <c r="C159" s="14" t="s">
        <v>560</v>
      </c>
      <c r="D159" s="14" t="s">
        <v>561</v>
      </c>
      <c r="E159" s="14" t="s">
        <v>562</v>
      </c>
      <c r="F159" s="14" t="s">
        <v>563</v>
      </c>
      <c r="G159" s="15">
        <v>9</v>
      </c>
    </row>
    <row r="160" spans="1:7" ht="42" x14ac:dyDescent="0.2">
      <c r="A160" s="10" t="s">
        <v>564</v>
      </c>
      <c r="B160" s="11" t="s">
        <v>529</v>
      </c>
      <c r="C160" s="11" t="s">
        <v>565</v>
      </c>
      <c r="D160" s="11" t="s">
        <v>566</v>
      </c>
      <c r="E160" s="11" t="s">
        <v>567</v>
      </c>
      <c r="F160" s="11" t="s">
        <v>568</v>
      </c>
      <c r="G160" s="12">
        <v>9</v>
      </c>
    </row>
  </sheetData>
  <autoFilter ref="A1:G1" xr:uid="{00000000-0009-0000-0000-000000000000}"/>
  <mergeCells count="15">
    <mergeCell ref="A111:G111"/>
    <mergeCell ref="A122:G122"/>
    <mergeCell ref="A131:G131"/>
    <mergeCell ref="A141:G141"/>
    <mergeCell ref="A151:G151"/>
    <mergeCell ref="A60:G60"/>
    <mergeCell ref="A71:G71"/>
    <mergeCell ref="A81:G81"/>
    <mergeCell ref="A90:G90"/>
    <mergeCell ref="A101:G101"/>
    <mergeCell ref="A2:G2"/>
    <mergeCell ref="A16:G16"/>
    <mergeCell ref="A27:G27"/>
    <mergeCell ref="A38:G38"/>
    <mergeCell ref="A50:G5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F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5" customWidth="1"/>
    <col min="2" max="2" width="40" customWidth="1"/>
    <col min="3" max="3" width="16" customWidth="1"/>
    <col min="4" max="4" width="12" customWidth="1"/>
    <col min="5" max="5" width="38" customWidth="1"/>
    <col min="6" max="6" width="50" customWidth="1"/>
  </cols>
  <sheetData>
    <row r="1" spans="1:6" x14ac:dyDescent="0.2">
      <c r="A1" s="9" t="s">
        <v>569</v>
      </c>
      <c r="B1" s="9" t="s">
        <v>570</v>
      </c>
      <c r="C1" s="9" t="s">
        <v>571</v>
      </c>
      <c r="D1" s="9" t="s">
        <v>6</v>
      </c>
      <c r="E1" s="9" t="s">
        <v>572</v>
      </c>
      <c r="F1" s="9" t="s">
        <v>573</v>
      </c>
    </row>
    <row r="2" spans="1:6" ht="28" x14ac:dyDescent="0.2">
      <c r="A2" s="12">
        <v>31</v>
      </c>
      <c r="B2" s="12" t="s">
        <v>9</v>
      </c>
      <c r="C2" s="11" t="s">
        <v>574</v>
      </c>
      <c r="D2" s="11">
        <v>12</v>
      </c>
      <c r="E2" s="11" t="s">
        <v>575</v>
      </c>
      <c r="F2" s="11" t="s">
        <v>576</v>
      </c>
    </row>
    <row r="3" spans="1:6" ht="28" x14ac:dyDescent="0.2">
      <c r="A3" s="15">
        <v>32</v>
      </c>
      <c r="B3" s="15" t="s">
        <v>61</v>
      </c>
      <c r="C3" s="14" t="s">
        <v>577</v>
      </c>
      <c r="D3" s="14">
        <v>9</v>
      </c>
      <c r="E3" s="14" t="s">
        <v>578</v>
      </c>
      <c r="F3" s="14" t="s">
        <v>579</v>
      </c>
    </row>
    <row r="4" spans="1:6" ht="28" x14ac:dyDescent="0.2">
      <c r="A4" s="12">
        <v>33</v>
      </c>
      <c r="B4" s="12" t="s">
        <v>101</v>
      </c>
      <c r="C4" s="11" t="s">
        <v>580</v>
      </c>
      <c r="D4" s="11">
        <v>9</v>
      </c>
      <c r="E4" s="11" t="s">
        <v>581</v>
      </c>
      <c r="F4" s="11" t="s">
        <v>582</v>
      </c>
    </row>
    <row r="5" spans="1:6" ht="28" x14ac:dyDescent="0.2">
      <c r="A5" s="15">
        <v>34</v>
      </c>
      <c r="B5" s="15" t="s">
        <v>140</v>
      </c>
      <c r="C5" s="14" t="s">
        <v>583</v>
      </c>
      <c r="D5" s="14">
        <v>10</v>
      </c>
      <c r="E5" s="14" t="s">
        <v>584</v>
      </c>
      <c r="F5" s="14" t="s">
        <v>585</v>
      </c>
    </row>
    <row r="6" spans="1:6" ht="28" x14ac:dyDescent="0.2">
      <c r="A6" s="12">
        <v>35</v>
      </c>
      <c r="B6" s="12" t="s">
        <v>179</v>
      </c>
      <c r="C6" s="11" t="s">
        <v>586</v>
      </c>
      <c r="D6" s="11">
        <v>8</v>
      </c>
      <c r="E6" s="11" t="s">
        <v>587</v>
      </c>
      <c r="F6" s="11" t="s">
        <v>588</v>
      </c>
    </row>
    <row r="7" spans="1:6" ht="28" x14ac:dyDescent="0.2">
      <c r="A7" s="15">
        <v>36</v>
      </c>
      <c r="B7" s="15" t="s">
        <v>214</v>
      </c>
      <c r="C7" s="14" t="s">
        <v>589</v>
      </c>
      <c r="D7" s="14">
        <v>9</v>
      </c>
      <c r="E7" s="14" t="s">
        <v>590</v>
      </c>
      <c r="F7" s="14" t="s">
        <v>591</v>
      </c>
    </row>
    <row r="8" spans="1:6" ht="28" x14ac:dyDescent="0.2">
      <c r="A8" s="12">
        <v>37</v>
      </c>
      <c r="B8" s="12" t="s">
        <v>251</v>
      </c>
      <c r="C8" s="11" t="s">
        <v>592</v>
      </c>
      <c r="D8" s="11">
        <v>8</v>
      </c>
      <c r="E8" s="11" t="s">
        <v>593</v>
      </c>
      <c r="F8" s="11" t="s">
        <v>594</v>
      </c>
    </row>
    <row r="9" spans="1:6" ht="28" x14ac:dyDescent="0.2">
      <c r="A9" s="15">
        <v>38</v>
      </c>
      <c r="B9" s="15" t="s">
        <v>282</v>
      </c>
      <c r="C9" s="14" t="s">
        <v>595</v>
      </c>
      <c r="D9" s="14">
        <v>7</v>
      </c>
      <c r="E9" s="14" t="s">
        <v>596</v>
      </c>
      <c r="F9" s="14" t="s">
        <v>597</v>
      </c>
    </row>
    <row r="10" spans="1:6" ht="28" x14ac:dyDescent="0.2">
      <c r="A10" s="12">
        <v>39</v>
      </c>
      <c r="B10" s="12" t="s">
        <v>312</v>
      </c>
      <c r="C10" s="11" t="s">
        <v>598</v>
      </c>
      <c r="D10" s="11">
        <v>9</v>
      </c>
      <c r="E10" s="11" t="s">
        <v>599</v>
      </c>
      <c r="F10" s="11" t="s">
        <v>600</v>
      </c>
    </row>
    <row r="11" spans="1:6" ht="28" x14ac:dyDescent="0.2">
      <c r="A11" s="15">
        <v>40</v>
      </c>
      <c r="B11" s="15" t="s">
        <v>356</v>
      </c>
      <c r="C11" s="14" t="s">
        <v>601</v>
      </c>
      <c r="D11" s="14">
        <v>8</v>
      </c>
      <c r="E11" s="14" t="s">
        <v>602</v>
      </c>
      <c r="F11" s="14" t="s">
        <v>603</v>
      </c>
    </row>
    <row r="12" spans="1:6" ht="28" x14ac:dyDescent="0.2">
      <c r="A12" s="12">
        <v>41</v>
      </c>
      <c r="B12" s="12" t="s">
        <v>388</v>
      </c>
      <c r="C12" s="11" t="s">
        <v>604</v>
      </c>
      <c r="D12" s="11">
        <v>9</v>
      </c>
      <c r="E12" s="11" t="s">
        <v>605</v>
      </c>
      <c r="F12" s="11" t="s">
        <v>606</v>
      </c>
    </row>
    <row r="13" spans="1:6" ht="28" x14ac:dyDescent="0.2">
      <c r="A13" s="15">
        <v>42</v>
      </c>
      <c r="B13" s="15" t="s">
        <v>423</v>
      </c>
      <c r="C13" s="14" t="s">
        <v>607</v>
      </c>
      <c r="D13" s="14">
        <v>7</v>
      </c>
      <c r="E13" s="14" t="s">
        <v>608</v>
      </c>
      <c r="F13" s="14" t="s">
        <v>609</v>
      </c>
    </row>
    <row r="14" spans="1:6" ht="28" x14ac:dyDescent="0.2">
      <c r="A14" s="12">
        <v>43</v>
      </c>
      <c r="B14" s="12" t="s">
        <v>456</v>
      </c>
      <c r="C14" s="11" t="s">
        <v>610</v>
      </c>
      <c r="D14" s="11">
        <v>8</v>
      </c>
      <c r="E14" s="11" t="s">
        <v>611</v>
      </c>
      <c r="F14" s="11" t="s">
        <v>612</v>
      </c>
    </row>
    <row r="15" spans="1:6" ht="28" x14ac:dyDescent="0.2">
      <c r="A15" s="15">
        <v>44</v>
      </c>
      <c r="B15" s="15" t="s">
        <v>492</v>
      </c>
      <c r="C15" s="14" t="s">
        <v>613</v>
      </c>
      <c r="D15" s="14">
        <v>8</v>
      </c>
      <c r="E15" s="14" t="s">
        <v>614</v>
      </c>
      <c r="F15" s="14" t="s">
        <v>615</v>
      </c>
    </row>
    <row r="16" spans="1:6" ht="28" x14ac:dyDescent="0.2">
      <c r="A16" s="12">
        <v>45</v>
      </c>
      <c r="B16" s="12" t="s">
        <v>529</v>
      </c>
      <c r="C16" s="11" t="s">
        <v>616</v>
      </c>
      <c r="D16" s="11">
        <v>9</v>
      </c>
      <c r="E16" s="11" t="s">
        <v>617</v>
      </c>
      <c r="F16" s="11" t="s">
        <v>618</v>
      </c>
    </row>
    <row r="17" spans="1:6" x14ac:dyDescent="0.2">
      <c r="A17" s="16"/>
      <c r="B17" s="17" t="s">
        <v>619</v>
      </c>
      <c r="C17" s="16"/>
      <c r="D17" s="18">
        <f>SUM(D2:D16)</f>
        <v>130</v>
      </c>
      <c r="E17" s="16"/>
      <c r="F17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G40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12" customWidth="1"/>
    <col min="2" max="2" width="22" customWidth="1"/>
    <col min="3" max="3" width="30" customWidth="1"/>
    <col min="4" max="5" width="14" customWidth="1"/>
    <col min="6" max="6" width="16" customWidth="1"/>
    <col min="7" max="7" width="42" customWidth="1"/>
  </cols>
  <sheetData>
    <row r="1" spans="1:7" ht="16.25" customHeight="1" x14ac:dyDescent="0.2">
      <c r="A1" s="7" t="s">
        <v>620</v>
      </c>
      <c r="B1" s="7"/>
      <c r="C1" s="7"/>
      <c r="D1" s="7"/>
      <c r="E1" s="7"/>
      <c r="F1" s="7"/>
      <c r="G1" s="7"/>
    </row>
    <row r="2" spans="1:7" ht="30" customHeight="1" x14ac:dyDescent="0.2">
      <c r="A2" s="6" t="s">
        <v>621</v>
      </c>
      <c r="B2" s="6"/>
      <c r="C2" s="6"/>
      <c r="D2" s="6"/>
      <c r="E2" s="6"/>
      <c r="F2" s="6"/>
      <c r="G2" s="6"/>
    </row>
    <row r="3" spans="1:7" x14ac:dyDescent="0.2">
      <c r="A3" s="9" t="s">
        <v>0</v>
      </c>
      <c r="B3" s="9" t="s">
        <v>622</v>
      </c>
      <c r="C3" s="9" t="s">
        <v>2</v>
      </c>
      <c r="D3" s="9" t="s">
        <v>623</v>
      </c>
      <c r="E3" s="9" t="s">
        <v>624</v>
      </c>
      <c r="F3" s="9" t="s">
        <v>625</v>
      </c>
      <c r="G3" s="9" t="s">
        <v>626</v>
      </c>
    </row>
    <row r="4" spans="1:7" x14ac:dyDescent="0.2">
      <c r="A4" s="11" t="s">
        <v>8</v>
      </c>
      <c r="B4" s="11" t="s">
        <v>627</v>
      </c>
      <c r="C4" s="11" t="s">
        <v>10</v>
      </c>
      <c r="D4" s="11" t="s">
        <v>628</v>
      </c>
      <c r="E4" s="19" t="s">
        <v>629</v>
      </c>
      <c r="F4" s="11" t="s">
        <v>630</v>
      </c>
      <c r="G4" s="11" t="s">
        <v>631</v>
      </c>
    </row>
    <row r="5" spans="1:7" x14ac:dyDescent="0.2">
      <c r="A5" s="14" t="s">
        <v>14</v>
      </c>
      <c r="B5" s="14" t="s">
        <v>627</v>
      </c>
      <c r="C5" s="14" t="s">
        <v>632</v>
      </c>
      <c r="D5" s="14" t="s">
        <v>17</v>
      </c>
      <c r="E5" s="20" t="s">
        <v>633</v>
      </c>
      <c r="F5" s="14" t="s">
        <v>634</v>
      </c>
      <c r="G5" s="14" t="s">
        <v>635</v>
      </c>
    </row>
    <row r="6" spans="1:7" x14ac:dyDescent="0.2">
      <c r="A6" s="11" t="s">
        <v>19</v>
      </c>
      <c r="B6" s="11" t="s">
        <v>627</v>
      </c>
      <c r="C6" s="11" t="s">
        <v>636</v>
      </c>
      <c r="D6" s="11" t="s">
        <v>17</v>
      </c>
      <c r="E6" s="21" t="s">
        <v>633</v>
      </c>
      <c r="F6" s="11" t="s">
        <v>634</v>
      </c>
      <c r="G6" s="11" t="s">
        <v>637</v>
      </c>
    </row>
    <row r="7" spans="1:7" x14ac:dyDescent="0.2">
      <c r="A7" s="14" t="s">
        <v>23</v>
      </c>
      <c r="B7" s="14" t="s">
        <v>627</v>
      </c>
      <c r="C7" s="14" t="s">
        <v>24</v>
      </c>
      <c r="D7" s="14" t="s">
        <v>17</v>
      </c>
      <c r="E7" s="22" t="s">
        <v>638</v>
      </c>
      <c r="F7" s="14" t="s">
        <v>634</v>
      </c>
      <c r="G7" s="14" t="s">
        <v>639</v>
      </c>
    </row>
    <row r="8" spans="1:7" x14ac:dyDescent="0.2">
      <c r="A8" s="11" t="s">
        <v>26</v>
      </c>
      <c r="B8" s="11" t="s">
        <v>627</v>
      </c>
      <c r="C8" s="11" t="s">
        <v>640</v>
      </c>
      <c r="D8" s="11" t="s">
        <v>641</v>
      </c>
      <c r="E8" s="21" t="s">
        <v>633</v>
      </c>
      <c r="F8" s="11" t="s">
        <v>642</v>
      </c>
      <c r="G8" s="11" t="s">
        <v>643</v>
      </c>
    </row>
    <row r="9" spans="1:7" x14ac:dyDescent="0.2">
      <c r="A9" s="14" t="s">
        <v>31</v>
      </c>
      <c r="B9" s="14" t="s">
        <v>627</v>
      </c>
      <c r="C9" s="14" t="s">
        <v>32</v>
      </c>
      <c r="D9" s="14" t="s">
        <v>641</v>
      </c>
      <c r="E9" s="20" t="s">
        <v>633</v>
      </c>
      <c r="F9" s="14" t="s">
        <v>642</v>
      </c>
      <c r="G9" s="14" t="s">
        <v>644</v>
      </c>
    </row>
    <row r="10" spans="1:7" x14ac:dyDescent="0.2">
      <c r="A10" s="11" t="s">
        <v>35</v>
      </c>
      <c r="B10" s="11" t="s">
        <v>627</v>
      </c>
      <c r="C10" s="11" t="s">
        <v>645</v>
      </c>
      <c r="D10" s="11" t="s">
        <v>641</v>
      </c>
      <c r="E10" s="21" t="s">
        <v>633</v>
      </c>
      <c r="F10" s="11" t="s">
        <v>642</v>
      </c>
      <c r="G10" s="11" t="s">
        <v>646</v>
      </c>
    </row>
    <row r="11" spans="1:7" x14ac:dyDescent="0.2">
      <c r="A11" s="14" t="s">
        <v>40</v>
      </c>
      <c r="B11" s="14" t="s">
        <v>627</v>
      </c>
      <c r="C11" s="14" t="s">
        <v>41</v>
      </c>
      <c r="D11" s="14" t="s">
        <v>17</v>
      </c>
      <c r="E11" s="20" t="s">
        <v>633</v>
      </c>
      <c r="F11" s="14" t="s">
        <v>634</v>
      </c>
      <c r="G11" s="14" t="s">
        <v>647</v>
      </c>
    </row>
    <row r="12" spans="1:7" x14ac:dyDescent="0.2">
      <c r="A12" s="11" t="s">
        <v>44</v>
      </c>
      <c r="B12" s="11" t="s">
        <v>627</v>
      </c>
      <c r="C12" s="11" t="s">
        <v>648</v>
      </c>
      <c r="D12" s="11" t="s">
        <v>641</v>
      </c>
      <c r="E12" s="19" t="s">
        <v>629</v>
      </c>
      <c r="F12" s="11" t="s">
        <v>630</v>
      </c>
      <c r="G12" s="11" t="s">
        <v>649</v>
      </c>
    </row>
    <row r="13" spans="1:7" x14ac:dyDescent="0.2">
      <c r="A13" s="14" t="s">
        <v>48</v>
      </c>
      <c r="B13" s="14" t="s">
        <v>627</v>
      </c>
      <c r="C13" s="14" t="s">
        <v>650</v>
      </c>
      <c r="D13" s="14" t="s">
        <v>651</v>
      </c>
      <c r="E13" s="20" t="s">
        <v>633</v>
      </c>
      <c r="F13" s="14" t="s">
        <v>652</v>
      </c>
      <c r="G13" s="14" t="s">
        <v>653</v>
      </c>
    </row>
    <row r="14" spans="1:7" x14ac:dyDescent="0.2">
      <c r="A14" s="11" t="s">
        <v>52</v>
      </c>
      <c r="B14" s="11" t="s">
        <v>627</v>
      </c>
      <c r="C14" s="11" t="s">
        <v>654</v>
      </c>
      <c r="D14" s="11" t="s">
        <v>641</v>
      </c>
      <c r="E14" s="23" t="s">
        <v>655</v>
      </c>
      <c r="F14" s="11" t="s">
        <v>656</v>
      </c>
      <c r="G14" s="11" t="s">
        <v>657</v>
      </c>
    </row>
    <row r="15" spans="1:7" x14ac:dyDescent="0.2">
      <c r="A15" s="14" t="s">
        <v>56</v>
      </c>
      <c r="B15" s="14" t="s">
        <v>627</v>
      </c>
      <c r="C15" s="14" t="s">
        <v>57</v>
      </c>
      <c r="D15" s="14" t="s">
        <v>641</v>
      </c>
      <c r="E15" s="22" t="s">
        <v>658</v>
      </c>
      <c r="F15" s="14" t="s">
        <v>659</v>
      </c>
      <c r="G15" s="14" t="s">
        <v>660</v>
      </c>
    </row>
    <row r="16" spans="1:7" x14ac:dyDescent="0.2">
      <c r="A16" s="11" t="s">
        <v>178</v>
      </c>
      <c r="B16" s="11" t="s">
        <v>661</v>
      </c>
      <c r="C16" s="11" t="s">
        <v>662</v>
      </c>
      <c r="D16" s="11" t="s">
        <v>17</v>
      </c>
      <c r="E16" s="21" t="s">
        <v>633</v>
      </c>
      <c r="F16" s="11" t="s">
        <v>634</v>
      </c>
      <c r="G16" s="11" t="s">
        <v>663</v>
      </c>
    </row>
    <row r="17" spans="1:7" x14ac:dyDescent="0.2">
      <c r="A17" s="14" t="s">
        <v>183</v>
      </c>
      <c r="B17" s="14" t="s">
        <v>661</v>
      </c>
      <c r="C17" s="14" t="s">
        <v>664</v>
      </c>
      <c r="D17" s="14" t="s">
        <v>17</v>
      </c>
      <c r="E17" s="20" t="s">
        <v>633</v>
      </c>
      <c r="F17" s="14" t="s">
        <v>634</v>
      </c>
      <c r="G17" s="14" t="s">
        <v>665</v>
      </c>
    </row>
    <row r="18" spans="1:7" x14ac:dyDescent="0.2">
      <c r="A18" s="11" t="s">
        <v>188</v>
      </c>
      <c r="B18" s="11" t="s">
        <v>661</v>
      </c>
      <c r="C18" s="11" t="s">
        <v>666</v>
      </c>
      <c r="D18" s="11" t="s">
        <v>667</v>
      </c>
      <c r="E18" s="19" t="s">
        <v>629</v>
      </c>
      <c r="F18" s="11" t="s">
        <v>668</v>
      </c>
      <c r="G18" s="11" t="s">
        <v>669</v>
      </c>
    </row>
    <row r="19" spans="1:7" x14ac:dyDescent="0.2">
      <c r="A19" s="14" t="s">
        <v>192</v>
      </c>
      <c r="B19" s="14" t="s">
        <v>661</v>
      </c>
      <c r="C19" s="14" t="s">
        <v>670</v>
      </c>
      <c r="D19" s="14" t="s">
        <v>651</v>
      </c>
      <c r="E19" s="20" t="s">
        <v>633</v>
      </c>
      <c r="F19" s="14" t="s">
        <v>671</v>
      </c>
      <c r="G19" s="14" t="s">
        <v>672</v>
      </c>
    </row>
    <row r="20" spans="1:7" x14ac:dyDescent="0.2">
      <c r="A20" s="11" t="s">
        <v>197</v>
      </c>
      <c r="B20" s="11" t="s">
        <v>661</v>
      </c>
      <c r="C20" s="11" t="s">
        <v>673</v>
      </c>
      <c r="D20" s="11" t="s">
        <v>641</v>
      </c>
      <c r="E20" s="23" t="s">
        <v>655</v>
      </c>
      <c r="F20" s="11" t="s">
        <v>656</v>
      </c>
      <c r="G20" s="11" t="s">
        <v>674</v>
      </c>
    </row>
    <row r="21" spans="1:7" x14ac:dyDescent="0.2">
      <c r="A21" s="14" t="s">
        <v>201</v>
      </c>
      <c r="B21" s="14" t="s">
        <v>661</v>
      </c>
      <c r="C21" s="14" t="s">
        <v>675</v>
      </c>
      <c r="D21" s="14" t="s">
        <v>641</v>
      </c>
      <c r="E21" s="20" t="s">
        <v>676</v>
      </c>
      <c r="F21" s="14" t="s">
        <v>651</v>
      </c>
      <c r="G21" s="14" t="s">
        <v>677</v>
      </c>
    </row>
    <row r="22" spans="1:7" x14ac:dyDescent="0.2">
      <c r="A22" s="11" t="s">
        <v>204</v>
      </c>
      <c r="B22" s="11" t="s">
        <v>661</v>
      </c>
      <c r="C22" s="11" t="s">
        <v>678</v>
      </c>
      <c r="D22" s="11" t="s">
        <v>641</v>
      </c>
      <c r="E22" s="19" t="s">
        <v>679</v>
      </c>
      <c r="F22" s="11" t="s">
        <v>651</v>
      </c>
      <c r="G22" s="11" t="s">
        <v>680</v>
      </c>
    </row>
    <row r="23" spans="1:7" x14ac:dyDescent="0.2">
      <c r="A23" s="14" t="s">
        <v>208</v>
      </c>
      <c r="B23" s="14" t="s">
        <v>661</v>
      </c>
      <c r="C23" s="14" t="s">
        <v>681</v>
      </c>
      <c r="D23" s="14" t="s">
        <v>651</v>
      </c>
      <c r="E23" s="24" t="s">
        <v>682</v>
      </c>
      <c r="F23" s="14" t="s">
        <v>651</v>
      </c>
      <c r="G23" s="14" t="s">
        <v>683</v>
      </c>
    </row>
    <row r="24" spans="1:7" x14ac:dyDescent="0.2">
      <c r="A24" s="11" t="s">
        <v>387</v>
      </c>
      <c r="B24" s="11" t="s">
        <v>684</v>
      </c>
      <c r="C24" s="11" t="s">
        <v>389</v>
      </c>
      <c r="D24" s="11" t="s">
        <v>17</v>
      </c>
      <c r="E24" s="21" t="s">
        <v>633</v>
      </c>
      <c r="F24" s="11" t="s">
        <v>634</v>
      </c>
      <c r="G24" s="11" t="s">
        <v>685</v>
      </c>
    </row>
    <row r="25" spans="1:7" ht="28" x14ac:dyDescent="0.2">
      <c r="A25" s="14" t="s">
        <v>392</v>
      </c>
      <c r="B25" s="14" t="s">
        <v>684</v>
      </c>
      <c r="C25" s="14" t="s">
        <v>686</v>
      </c>
      <c r="D25" s="14" t="s">
        <v>17</v>
      </c>
      <c r="E25" s="20" t="s">
        <v>633</v>
      </c>
      <c r="F25" s="14" t="s">
        <v>634</v>
      </c>
      <c r="G25" s="14" t="s">
        <v>687</v>
      </c>
    </row>
    <row r="26" spans="1:7" x14ac:dyDescent="0.2">
      <c r="A26" s="11" t="s">
        <v>396</v>
      </c>
      <c r="B26" s="11" t="s">
        <v>684</v>
      </c>
      <c r="C26" s="11" t="s">
        <v>688</v>
      </c>
      <c r="D26" s="11" t="s">
        <v>651</v>
      </c>
      <c r="E26" s="25" t="s">
        <v>682</v>
      </c>
      <c r="F26" s="11" t="s">
        <v>651</v>
      </c>
      <c r="G26" s="11" t="s">
        <v>689</v>
      </c>
    </row>
    <row r="27" spans="1:7" ht="28" x14ac:dyDescent="0.2">
      <c r="A27" s="14" t="s">
        <v>399</v>
      </c>
      <c r="B27" s="14" t="s">
        <v>684</v>
      </c>
      <c r="C27" s="14" t="s">
        <v>690</v>
      </c>
      <c r="D27" s="14" t="s">
        <v>651</v>
      </c>
      <c r="E27" s="24" t="s">
        <v>682</v>
      </c>
      <c r="F27" s="14" t="s">
        <v>651</v>
      </c>
      <c r="G27" s="14" t="s">
        <v>691</v>
      </c>
    </row>
    <row r="28" spans="1:7" x14ac:dyDescent="0.2">
      <c r="A28" s="11" t="s">
        <v>402</v>
      </c>
      <c r="B28" s="11" t="s">
        <v>684</v>
      </c>
      <c r="C28" s="11" t="s">
        <v>692</v>
      </c>
      <c r="D28" s="11" t="s">
        <v>651</v>
      </c>
      <c r="E28" s="25" t="s">
        <v>682</v>
      </c>
      <c r="F28" s="11" t="s">
        <v>651</v>
      </c>
      <c r="G28" s="11" t="s">
        <v>693</v>
      </c>
    </row>
    <row r="29" spans="1:7" x14ac:dyDescent="0.2">
      <c r="A29" s="14" t="s">
        <v>407</v>
      </c>
      <c r="B29" s="14" t="s">
        <v>684</v>
      </c>
      <c r="C29" s="14" t="s">
        <v>376</v>
      </c>
      <c r="D29" s="14" t="s">
        <v>17</v>
      </c>
      <c r="E29" s="20" t="s">
        <v>633</v>
      </c>
      <c r="F29" s="14" t="s">
        <v>634</v>
      </c>
      <c r="G29" s="14" t="s">
        <v>694</v>
      </c>
    </row>
    <row r="30" spans="1:7" x14ac:dyDescent="0.2">
      <c r="A30" s="11" t="s">
        <v>410</v>
      </c>
      <c r="B30" s="11" t="s">
        <v>684</v>
      </c>
      <c r="C30" s="11" t="s">
        <v>411</v>
      </c>
      <c r="D30" s="11" t="s">
        <v>628</v>
      </c>
      <c r="E30" s="23" t="s">
        <v>655</v>
      </c>
      <c r="F30" s="11" t="s">
        <v>656</v>
      </c>
      <c r="G30" s="11" t="s">
        <v>695</v>
      </c>
    </row>
    <row r="31" spans="1:7" ht="28" x14ac:dyDescent="0.2">
      <c r="A31" s="14" t="s">
        <v>414</v>
      </c>
      <c r="B31" s="14" t="s">
        <v>684</v>
      </c>
      <c r="C31" s="14" t="s">
        <v>696</v>
      </c>
      <c r="D31" s="14" t="s">
        <v>38</v>
      </c>
      <c r="E31" s="20" t="s">
        <v>633</v>
      </c>
      <c r="F31" s="14" t="s">
        <v>634</v>
      </c>
      <c r="G31" s="14" t="s">
        <v>697</v>
      </c>
    </row>
    <row r="32" spans="1:7" x14ac:dyDescent="0.2">
      <c r="A32" s="11" t="s">
        <v>418</v>
      </c>
      <c r="B32" s="11" t="s">
        <v>684</v>
      </c>
      <c r="C32" s="11" t="s">
        <v>698</v>
      </c>
      <c r="D32" s="11" t="s">
        <v>628</v>
      </c>
      <c r="E32" s="19" t="s">
        <v>629</v>
      </c>
      <c r="F32" s="11" t="s">
        <v>699</v>
      </c>
      <c r="G32" s="11" t="s">
        <v>700</v>
      </c>
    </row>
    <row r="34" spans="1:7" x14ac:dyDescent="0.2">
      <c r="A34" s="5" t="s">
        <v>701</v>
      </c>
      <c r="B34" s="5"/>
      <c r="C34" s="5"/>
      <c r="D34" s="5"/>
      <c r="E34" s="5"/>
      <c r="F34" s="5"/>
      <c r="G34" s="5"/>
    </row>
    <row r="35" spans="1:7" x14ac:dyDescent="0.2">
      <c r="A35" s="26" t="s">
        <v>702</v>
      </c>
      <c r="B35" s="27">
        <v>29</v>
      </c>
    </row>
    <row r="36" spans="1:7" x14ac:dyDescent="0.2">
      <c r="A36" s="26" t="s">
        <v>703</v>
      </c>
      <c r="B36" s="27">
        <f>COUNTIF(E4:E32,"MET")+COUNTIF(E4:E32,"MET (shared)")+COUNTIF(E4:E32,"MET (completed)")</f>
        <v>15</v>
      </c>
    </row>
    <row r="37" spans="1:7" x14ac:dyDescent="0.2">
      <c r="A37" s="26" t="s">
        <v>704</v>
      </c>
      <c r="B37" s="27">
        <f>COUNTIF(E4:E32,"NOT MET")+COUNTIF(E4:E32,"OVERDUE")</f>
        <v>3</v>
      </c>
    </row>
    <row r="38" spans="1:7" x14ac:dyDescent="0.2">
      <c r="A38" s="26" t="s">
        <v>705</v>
      </c>
      <c r="B38" s="27">
        <f>COUNTIF(E4:E32,"DUE")+COUNTIF(E4:E32,"DUE SOON")+COUNTIF(E4:E32,"AT RISK")+COUNTIF(E4:E32,"ONGOING")+COUNTIF(E4:E32,"DUE (shared)")</f>
        <v>7</v>
      </c>
    </row>
    <row r="39" spans="1:7" x14ac:dyDescent="0.2">
      <c r="A39" s="26" t="s">
        <v>706</v>
      </c>
      <c r="B39" s="27">
        <f>COUNTIF(E4:E32,"N/A")</f>
        <v>4</v>
      </c>
    </row>
    <row r="40" spans="1:7" x14ac:dyDescent="0.2">
      <c r="A40" s="26" t="s">
        <v>707</v>
      </c>
      <c r="B40" s="28">
        <f>B36/(B35-B39)</f>
        <v>0.6</v>
      </c>
    </row>
  </sheetData>
  <mergeCells count="3">
    <mergeCell ref="A1:G1"/>
    <mergeCell ref="A2:G2"/>
    <mergeCell ref="A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C21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56" customWidth="1"/>
    <col min="3" max="3" width="58" customWidth="1"/>
  </cols>
  <sheetData>
    <row r="1" spans="1:3" ht="15" customHeight="1" x14ac:dyDescent="0.2">
      <c r="A1" s="4" t="s">
        <v>708</v>
      </c>
      <c r="B1" s="4"/>
      <c r="C1" s="4"/>
    </row>
    <row r="2" spans="1:3" x14ac:dyDescent="0.2">
      <c r="A2" s="9" t="s">
        <v>709</v>
      </c>
      <c r="B2" s="9" t="s">
        <v>710</v>
      </c>
      <c r="C2" s="9" t="s">
        <v>711</v>
      </c>
    </row>
    <row r="3" spans="1:3" ht="42" x14ac:dyDescent="0.2">
      <c r="A3" s="11" t="s">
        <v>712</v>
      </c>
      <c r="B3" s="11" t="s">
        <v>713</v>
      </c>
      <c r="C3" s="11" t="s">
        <v>714</v>
      </c>
    </row>
    <row r="4" spans="1:3" ht="28" x14ac:dyDescent="0.2">
      <c r="A4" s="14" t="s">
        <v>715</v>
      </c>
      <c r="B4" s="14" t="s">
        <v>716</v>
      </c>
      <c r="C4" s="14" t="s">
        <v>717</v>
      </c>
    </row>
    <row r="5" spans="1:3" ht="28" x14ac:dyDescent="0.2">
      <c r="A5" s="11" t="s">
        <v>376</v>
      </c>
      <c r="B5" s="11" t="s">
        <v>718</v>
      </c>
      <c r="C5" s="11" t="s">
        <v>719</v>
      </c>
    </row>
    <row r="6" spans="1:3" ht="28" x14ac:dyDescent="0.2">
      <c r="A6" s="14" t="s">
        <v>720</v>
      </c>
      <c r="B6" s="14" t="s">
        <v>721</v>
      </c>
      <c r="C6" s="14" t="s">
        <v>722</v>
      </c>
    </row>
    <row r="7" spans="1:3" ht="28" x14ac:dyDescent="0.2">
      <c r="A7" s="11" t="s">
        <v>41</v>
      </c>
      <c r="B7" s="11" t="s">
        <v>723</v>
      </c>
      <c r="C7" s="11" t="s">
        <v>724</v>
      </c>
    </row>
    <row r="8" spans="1:3" ht="28" x14ac:dyDescent="0.2">
      <c r="A8" s="14" t="s">
        <v>725</v>
      </c>
      <c r="B8" s="14" t="s">
        <v>726</v>
      </c>
      <c r="C8" s="14" t="s">
        <v>727</v>
      </c>
    </row>
    <row r="9" spans="1:3" ht="28" x14ac:dyDescent="0.2">
      <c r="A9" s="11" t="s">
        <v>728</v>
      </c>
      <c r="B9" s="11" t="s">
        <v>729</v>
      </c>
      <c r="C9" s="11" t="s">
        <v>730</v>
      </c>
    </row>
    <row r="10" spans="1:3" ht="28" x14ac:dyDescent="0.2">
      <c r="A10" s="14" t="s">
        <v>731</v>
      </c>
      <c r="B10" s="14" t="s">
        <v>732</v>
      </c>
      <c r="C10" s="14" t="s">
        <v>733</v>
      </c>
    </row>
    <row r="11" spans="1:3" ht="28" x14ac:dyDescent="0.2">
      <c r="A11" s="11" t="s">
        <v>734</v>
      </c>
      <c r="B11" s="11" t="s">
        <v>735</v>
      </c>
      <c r="C11" s="11" t="s">
        <v>736</v>
      </c>
    </row>
    <row r="12" spans="1:3" ht="42" x14ac:dyDescent="0.2">
      <c r="A12" s="14" t="s">
        <v>737</v>
      </c>
      <c r="B12" s="14" t="s">
        <v>738</v>
      </c>
      <c r="C12" s="14" t="s">
        <v>739</v>
      </c>
    </row>
    <row r="13" spans="1:3" ht="28" x14ac:dyDescent="0.2">
      <c r="A13" s="11" t="s">
        <v>740</v>
      </c>
      <c r="B13" s="11" t="s">
        <v>741</v>
      </c>
      <c r="C13" s="11" t="s">
        <v>742</v>
      </c>
    </row>
    <row r="14" spans="1:3" ht="28" x14ac:dyDescent="0.2">
      <c r="A14" s="14" t="s">
        <v>743</v>
      </c>
      <c r="B14" s="14" t="s">
        <v>744</v>
      </c>
      <c r="C14" s="14" t="s">
        <v>745</v>
      </c>
    </row>
    <row r="15" spans="1:3" ht="28" x14ac:dyDescent="0.2">
      <c r="A15" s="11" t="s">
        <v>746</v>
      </c>
      <c r="B15" s="11" t="s">
        <v>747</v>
      </c>
      <c r="C15" s="11" t="s">
        <v>748</v>
      </c>
    </row>
    <row r="16" spans="1:3" ht="42" x14ac:dyDescent="0.2">
      <c r="A16" s="14" t="s">
        <v>749</v>
      </c>
      <c r="B16" s="14" t="s">
        <v>750</v>
      </c>
      <c r="C16" s="14" t="s">
        <v>751</v>
      </c>
    </row>
    <row r="17" spans="1:3" ht="28" x14ac:dyDescent="0.2">
      <c r="A17" s="11" t="s">
        <v>752</v>
      </c>
      <c r="B17" s="11" t="s">
        <v>753</v>
      </c>
      <c r="C17" s="11" t="s">
        <v>754</v>
      </c>
    </row>
    <row r="18" spans="1:3" ht="28" x14ac:dyDescent="0.2">
      <c r="A18" s="14" t="s">
        <v>755</v>
      </c>
      <c r="B18" s="14" t="s">
        <v>756</v>
      </c>
      <c r="C18" s="14" t="s">
        <v>757</v>
      </c>
    </row>
    <row r="19" spans="1:3" ht="28" x14ac:dyDescent="0.2">
      <c r="A19" s="11" t="s">
        <v>758</v>
      </c>
      <c r="B19" s="11" t="s">
        <v>759</v>
      </c>
      <c r="C19" s="11" t="s">
        <v>760</v>
      </c>
    </row>
    <row r="20" spans="1:3" ht="28" x14ac:dyDescent="0.2">
      <c r="A20" s="14" t="s">
        <v>761</v>
      </c>
      <c r="B20" s="14" t="s">
        <v>762</v>
      </c>
      <c r="C20" s="14" t="s">
        <v>763</v>
      </c>
    </row>
    <row r="21" spans="1:3" ht="28" x14ac:dyDescent="0.2">
      <c r="A21" s="11" t="s">
        <v>764</v>
      </c>
      <c r="B21" s="11" t="s">
        <v>765</v>
      </c>
      <c r="C21" s="11" t="s">
        <v>766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D55"/>
  <sheetViews>
    <sheetView zoomScaleNormal="100" workbookViewId="0"/>
  </sheetViews>
  <sheetFormatPr baseColWidth="10" defaultColWidth="8.6640625" defaultRowHeight="15" customHeight="1" x14ac:dyDescent="0.2"/>
  <cols>
    <col min="1" max="1" width="5" customWidth="1"/>
    <col min="2" max="2" width="44" customWidth="1"/>
    <col min="3" max="3" width="18" customWidth="1"/>
    <col min="4" max="4" width="12" customWidth="1"/>
  </cols>
  <sheetData>
    <row r="1" spans="1:4" ht="26.75" customHeight="1" x14ac:dyDescent="0.2">
      <c r="A1" s="3" t="s">
        <v>767</v>
      </c>
      <c r="B1" s="3"/>
      <c r="C1" s="3"/>
      <c r="D1" s="3"/>
    </row>
    <row r="2" spans="1:4" x14ac:dyDescent="0.2">
      <c r="A2" s="9" t="s">
        <v>569</v>
      </c>
      <c r="B2" s="9" t="s">
        <v>570</v>
      </c>
      <c r="C2" s="9" t="s">
        <v>768</v>
      </c>
      <c r="D2" s="9" t="s">
        <v>6</v>
      </c>
    </row>
    <row r="3" spans="1:4" ht="15" customHeight="1" x14ac:dyDescent="0.2">
      <c r="A3" s="2" t="s">
        <v>769</v>
      </c>
      <c r="B3" s="2"/>
      <c r="C3" s="2"/>
      <c r="D3" s="2"/>
    </row>
    <row r="4" spans="1:4" x14ac:dyDescent="0.2">
      <c r="A4" s="12">
        <v>1</v>
      </c>
      <c r="B4" s="11" t="s">
        <v>770</v>
      </c>
      <c r="C4" s="12" t="s">
        <v>771</v>
      </c>
      <c r="D4" s="12">
        <v>8</v>
      </c>
    </row>
    <row r="5" spans="1:4" x14ac:dyDescent="0.2">
      <c r="A5" s="15">
        <v>2</v>
      </c>
      <c r="B5" s="14" t="s">
        <v>772</v>
      </c>
      <c r="C5" s="15" t="s">
        <v>773</v>
      </c>
      <c r="D5" s="15">
        <v>6</v>
      </c>
    </row>
    <row r="6" spans="1:4" x14ac:dyDescent="0.2">
      <c r="A6" s="12">
        <v>3</v>
      </c>
      <c r="B6" s="11" t="s">
        <v>774</v>
      </c>
      <c r="C6" s="12" t="s">
        <v>775</v>
      </c>
      <c r="D6" s="12">
        <v>8</v>
      </c>
    </row>
    <row r="7" spans="1:4" x14ac:dyDescent="0.2">
      <c r="A7" s="15">
        <v>4</v>
      </c>
      <c r="B7" s="14" t="s">
        <v>776</v>
      </c>
      <c r="C7" s="15" t="s">
        <v>777</v>
      </c>
      <c r="D7" s="15">
        <v>7</v>
      </c>
    </row>
    <row r="8" spans="1:4" x14ac:dyDescent="0.2">
      <c r="A8" s="12">
        <v>5</v>
      </c>
      <c r="B8" s="11" t="s">
        <v>778</v>
      </c>
      <c r="C8" s="12" t="s">
        <v>779</v>
      </c>
      <c r="D8" s="12">
        <v>8</v>
      </c>
    </row>
    <row r="9" spans="1:4" x14ac:dyDescent="0.2">
      <c r="A9" s="15">
        <v>6</v>
      </c>
      <c r="B9" s="14" t="s">
        <v>780</v>
      </c>
      <c r="C9" s="15" t="s">
        <v>781</v>
      </c>
      <c r="D9" s="15">
        <v>7</v>
      </c>
    </row>
    <row r="10" spans="1:4" x14ac:dyDescent="0.2">
      <c r="A10" s="12">
        <v>7</v>
      </c>
      <c r="B10" s="11" t="s">
        <v>782</v>
      </c>
      <c r="C10" s="12" t="s">
        <v>783</v>
      </c>
      <c r="D10" s="12">
        <v>9</v>
      </c>
    </row>
    <row r="11" spans="1:4" x14ac:dyDescent="0.2">
      <c r="A11" s="15">
        <v>8</v>
      </c>
      <c r="B11" s="14" t="s">
        <v>784</v>
      </c>
      <c r="C11" s="15" t="s">
        <v>785</v>
      </c>
      <c r="D11" s="15">
        <v>6</v>
      </c>
    </row>
    <row r="12" spans="1:4" x14ac:dyDescent="0.2">
      <c r="A12" s="12">
        <v>9</v>
      </c>
      <c r="B12" s="11" t="s">
        <v>786</v>
      </c>
      <c r="C12" s="12" t="s">
        <v>787</v>
      </c>
      <c r="D12" s="12">
        <v>7</v>
      </c>
    </row>
    <row r="13" spans="1:4" x14ac:dyDescent="0.2">
      <c r="A13" s="15">
        <v>10</v>
      </c>
      <c r="B13" s="14" t="s">
        <v>788</v>
      </c>
      <c r="C13" s="15" t="s">
        <v>789</v>
      </c>
      <c r="D13" s="15">
        <v>6</v>
      </c>
    </row>
    <row r="14" spans="1:4" x14ac:dyDescent="0.2">
      <c r="A14" s="12">
        <v>11</v>
      </c>
      <c r="B14" s="11" t="s">
        <v>790</v>
      </c>
      <c r="C14" s="12" t="s">
        <v>791</v>
      </c>
      <c r="D14" s="12">
        <v>6</v>
      </c>
    </row>
    <row r="15" spans="1:4" x14ac:dyDescent="0.2">
      <c r="A15" s="15">
        <v>12</v>
      </c>
      <c r="B15" s="14" t="s">
        <v>792</v>
      </c>
      <c r="C15" s="15" t="s">
        <v>793</v>
      </c>
      <c r="D15" s="15">
        <v>7</v>
      </c>
    </row>
    <row r="16" spans="1:4" x14ac:dyDescent="0.2">
      <c r="A16" s="12">
        <v>13</v>
      </c>
      <c r="B16" s="11" t="s">
        <v>794</v>
      </c>
      <c r="C16" s="12" t="s">
        <v>795</v>
      </c>
      <c r="D16" s="12">
        <v>8</v>
      </c>
    </row>
    <row r="17" spans="1:4" x14ac:dyDescent="0.2">
      <c r="A17" s="15">
        <v>14</v>
      </c>
      <c r="B17" s="14" t="s">
        <v>796</v>
      </c>
      <c r="C17" s="15" t="s">
        <v>797</v>
      </c>
      <c r="D17" s="15">
        <v>7</v>
      </c>
    </row>
    <row r="18" spans="1:4" x14ac:dyDescent="0.2">
      <c r="A18" s="12">
        <v>15</v>
      </c>
      <c r="B18" s="11" t="s">
        <v>798</v>
      </c>
      <c r="C18" s="12" t="s">
        <v>799</v>
      </c>
      <c r="D18" s="12">
        <v>6</v>
      </c>
    </row>
    <row r="19" spans="1:4" x14ac:dyDescent="0.2">
      <c r="A19" s="16"/>
      <c r="B19" s="29" t="s">
        <v>800</v>
      </c>
      <c r="C19" s="16"/>
      <c r="D19" s="30">
        <f>SUM(D4:D18)</f>
        <v>106</v>
      </c>
    </row>
    <row r="20" spans="1:4" ht="15" customHeight="1" x14ac:dyDescent="0.2">
      <c r="A20" s="2" t="s">
        <v>801</v>
      </c>
      <c r="B20" s="2"/>
      <c r="C20" s="2"/>
      <c r="D20" s="2"/>
    </row>
    <row r="21" spans="1:4" x14ac:dyDescent="0.2">
      <c r="A21" s="12">
        <v>16</v>
      </c>
      <c r="B21" s="11" t="s">
        <v>802</v>
      </c>
      <c r="C21" s="12" t="s">
        <v>803</v>
      </c>
      <c r="D21" s="12">
        <v>9</v>
      </c>
    </row>
    <row r="22" spans="1:4" x14ac:dyDescent="0.2">
      <c r="A22" s="15">
        <v>17</v>
      </c>
      <c r="B22" s="14" t="s">
        <v>804</v>
      </c>
      <c r="C22" s="15" t="s">
        <v>805</v>
      </c>
      <c r="D22" s="15">
        <v>8</v>
      </c>
    </row>
    <row r="23" spans="1:4" x14ac:dyDescent="0.2">
      <c r="A23" s="12">
        <v>18</v>
      </c>
      <c r="B23" s="11" t="s">
        <v>806</v>
      </c>
      <c r="C23" s="12" t="s">
        <v>807</v>
      </c>
      <c r="D23" s="12">
        <v>9</v>
      </c>
    </row>
    <row r="24" spans="1:4" x14ac:dyDescent="0.2">
      <c r="A24" s="15">
        <v>19</v>
      </c>
      <c r="B24" s="14" t="s">
        <v>808</v>
      </c>
      <c r="C24" s="15" t="s">
        <v>809</v>
      </c>
      <c r="D24" s="15">
        <v>7</v>
      </c>
    </row>
    <row r="25" spans="1:4" x14ac:dyDescent="0.2">
      <c r="A25" s="12">
        <v>20</v>
      </c>
      <c r="B25" s="11" t="s">
        <v>810</v>
      </c>
      <c r="C25" s="12" t="s">
        <v>811</v>
      </c>
      <c r="D25" s="12">
        <v>7</v>
      </c>
    </row>
    <row r="26" spans="1:4" x14ac:dyDescent="0.2">
      <c r="A26" s="15">
        <v>21</v>
      </c>
      <c r="B26" s="14" t="s">
        <v>812</v>
      </c>
      <c r="C26" s="15" t="s">
        <v>813</v>
      </c>
      <c r="D26" s="15">
        <v>6</v>
      </c>
    </row>
    <row r="27" spans="1:4" x14ac:dyDescent="0.2">
      <c r="A27" s="12">
        <v>22</v>
      </c>
      <c r="B27" s="11" t="s">
        <v>814</v>
      </c>
      <c r="C27" s="12" t="s">
        <v>815</v>
      </c>
      <c r="D27" s="12">
        <v>7</v>
      </c>
    </row>
    <row r="28" spans="1:4" x14ac:dyDescent="0.2">
      <c r="A28" s="15">
        <v>23</v>
      </c>
      <c r="B28" s="14" t="s">
        <v>816</v>
      </c>
      <c r="C28" s="15" t="s">
        <v>817</v>
      </c>
      <c r="D28" s="15">
        <v>8</v>
      </c>
    </row>
    <row r="29" spans="1:4" x14ac:dyDescent="0.2">
      <c r="A29" s="12">
        <v>24</v>
      </c>
      <c r="B29" s="11" t="s">
        <v>818</v>
      </c>
      <c r="C29" s="12" t="s">
        <v>819</v>
      </c>
      <c r="D29" s="12">
        <v>10</v>
      </c>
    </row>
    <row r="30" spans="1:4" x14ac:dyDescent="0.2">
      <c r="A30" s="15">
        <v>25</v>
      </c>
      <c r="B30" s="14" t="s">
        <v>820</v>
      </c>
      <c r="C30" s="15" t="s">
        <v>821</v>
      </c>
      <c r="D30" s="15">
        <v>8</v>
      </c>
    </row>
    <row r="31" spans="1:4" x14ac:dyDescent="0.2">
      <c r="A31" s="12">
        <v>26</v>
      </c>
      <c r="B31" s="11" t="s">
        <v>822</v>
      </c>
      <c r="C31" s="12" t="s">
        <v>823</v>
      </c>
      <c r="D31" s="12">
        <v>8</v>
      </c>
    </row>
    <row r="32" spans="1:4" x14ac:dyDescent="0.2">
      <c r="A32" s="15">
        <v>27</v>
      </c>
      <c r="B32" s="14" t="s">
        <v>824</v>
      </c>
      <c r="C32" s="15" t="s">
        <v>825</v>
      </c>
      <c r="D32" s="15">
        <v>9</v>
      </c>
    </row>
    <row r="33" spans="1:4" x14ac:dyDescent="0.2">
      <c r="A33" s="12">
        <v>28</v>
      </c>
      <c r="B33" s="11" t="s">
        <v>826</v>
      </c>
      <c r="C33" s="12" t="s">
        <v>827</v>
      </c>
      <c r="D33" s="12">
        <v>7</v>
      </c>
    </row>
    <row r="34" spans="1:4" x14ac:dyDescent="0.2">
      <c r="A34" s="15">
        <v>29</v>
      </c>
      <c r="B34" s="14" t="s">
        <v>828</v>
      </c>
      <c r="C34" s="15" t="s">
        <v>829</v>
      </c>
      <c r="D34" s="15">
        <v>7</v>
      </c>
    </row>
    <row r="35" spans="1:4" x14ac:dyDescent="0.2">
      <c r="A35" s="12">
        <v>30</v>
      </c>
      <c r="B35" s="11" t="s">
        <v>830</v>
      </c>
      <c r="C35" s="12" t="s">
        <v>831</v>
      </c>
      <c r="D35" s="12">
        <v>8</v>
      </c>
    </row>
    <row r="36" spans="1:4" x14ac:dyDescent="0.2">
      <c r="A36" s="16"/>
      <c r="B36" s="29" t="s">
        <v>832</v>
      </c>
      <c r="C36" s="16"/>
      <c r="D36" s="30">
        <f>SUM(D21:D35)</f>
        <v>118</v>
      </c>
    </row>
    <row r="37" spans="1:4" ht="15" customHeight="1" x14ac:dyDescent="0.2">
      <c r="A37" s="2" t="s">
        <v>833</v>
      </c>
      <c r="B37" s="2"/>
      <c r="C37" s="2"/>
      <c r="D37" s="2"/>
    </row>
    <row r="38" spans="1:4" x14ac:dyDescent="0.2">
      <c r="A38" s="12">
        <v>31</v>
      </c>
      <c r="B38" s="11" t="s">
        <v>9</v>
      </c>
      <c r="C38" s="12" t="s">
        <v>574</v>
      </c>
      <c r="D38" s="12">
        <v>12</v>
      </c>
    </row>
    <row r="39" spans="1:4" x14ac:dyDescent="0.2">
      <c r="A39" s="15">
        <v>32</v>
      </c>
      <c r="B39" s="14" t="s">
        <v>61</v>
      </c>
      <c r="C39" s="15" t="s">
        <v>577</v>
      </c>
      <c r="D39" s="15">
        <v>9</v>
      </c>
    </row>
    <row r="40" spans="1:4" x14ac:dyDescent="0.2">
      <c r="A40" s="12">
        <v>33</v>
      </c>
      <c r="B40" s="11" t="s">
        <v>101</v>
      </c>
      <c r="C40" s="12" t="s">
        <v>580</v>
      </c>
      <c r="D40" s="12">
        <v>9</v>
      </c>
    </row>
    <row r="41" spans="1:4" x14ac:dyDescent="0.2">
      <c r="A41" s="15">
        <v>34</v>
      </c>
      <c r="B41" s="14" t="s">
        <v>140</v>
      </c>
      <c r="C41" s="15" t="s">
        <v>583</v>
      </c>
      <c r="D41" s="15">
        <v>10</v>
      </c>
    </row>
    <row r="42" spans="1:4" x14ac:dyDescent="0.2">
      <c r="A42" s="12">
        <v>35</v>
      </c>
      <c r="B42" s="11" t="s">
        <v>179</v>
      </c>
      <c r="C42" s="12" t="s">
        <v>586</v>
      </c>
      <c r="D42" s="12">
        <v>8</v>
      </c>
    </row>
    <row r="43" spans="1:4" x14ac:dyDescent="0.2">
      <c r="A43" s="15">
        <v>36</v>
      </c>
      <c r="B43" s="14" t="s">
        <v>214</v>
      </c>
      <c r="C43" s="15" t="s">
        <v>589</v>
      </c>
      <c r="D43" s="15">
        <v>9</v>
      </c>
    </row>
    <row r="44" spans="1:4" x14ac:dyDescent="0.2">
      <c r="A44" s="12">
        <v>37</v>
      </c>
      <c r="B44" s="11" t="s">
        <v>251</v>
      </c>
      <c r="C44" s="12" t="s">
        <v>592</v>
      </c>
      <c r="D44" s="12">
        <v>8</v>
      </c>
    </row>
    <row r="45" spans="1:4" x14ac:dyDescent="0.2">
      <c r="A45" s="15">
        <v>38</v>
      </c>
      <c r="B45" s="14" t="s">
        <v>282</v>
      </c>
      <c r="C45" s="15" t="s">
        <v>595</v>
      </c>
      <c r="D45" s="15">
        <v>7</v>
      </c>
    </row>
    <row r="46" spans="1:4" x14ac:dyDescent="0.2">
      <c r="A46" s="12">
        <v>39</v>
      </c>
      <c r="B46" s="11" t="s">
        <v>312</v>
      </c>
      <c r="C46" s="12" t="s">
        <v>598</v>
      </c>
      <c r="D46" s="12">
        <v>9</v>
      </c>
    </row>
    <row r="47" spans="1:4" x14ac:dyDescent="0.2">
      <c r="A47" s="15">
        <v>40</v>
      </c>
      <c r="B47" s="14" t="s">
        <v>356</v>
      </c>
      <c r="C47" s="15" t="s">
        <v>601</v>
      </c>
      <c r="D47" s="15">
        <v>8</v>
      </c>
    </row>
    <row r="48" spans="1:4" x14ac:dyDescent="0.2">
      <c r="A48" s="12">
        <v>41</v>
      </c>
      <c r="B48" s="11" t="s">
        <v>388</v>
      </c>
      <c r="C48" s="12" t="s">
        <v>604</v>
      </c>
      <c r="D48" s="12">
        <v>9</v>
      </c>
    </row>
    <row r="49" spans="1:4" x14ac:dyDescent="0.2">
      <c r="A49" s="15">
        <v>42</v>
      </c>
      <c r="B49" s="14" t="s">
        <v>423</v>
      </c>
      <c r="C49" s="15" t="s">
        <v>607</v>
      </c>
      <c r="D49" s="15">
        <v>7</v>
      </c>
    </row>
    <row r="50" spans="1:4" x14ac:dyDescent="0.2">
      <c r="A50" s="12">
        <v>43</v>
      </c>
      <c r="B50" s="11" t="s">
        <v>456</v>
      </c>
      <c r="C50" s="12" t="s">
        <v>610</v>
      </c>
      <c r="D50" s="12">
        <v>8</v>
      </c>
    </row>
    <row r="51" spans="1:4" ht="28" x14ac:dyDescent="0.2">
      <c r="A51" s="15">
        <v>44</v>
      </c>
      <c r="B51" s="14" t="s">
        <v>492</v>
      </c>
      <c r="C51" s="15" t="s">
        <v>613</v>
      </c>
      <c r="D51" s="15">
        <v>8</v>
      </c>
    </row>
    <row r="52" spans="1:4" ht="28" x14ac:dyDescent="0.2">
      <c r="A52" s="12">
        <v>45</v>
      </c>
      <c r="B52" s="11" t="s">
        <v>529</v>
      </c>
      <c r="C52" s="12" t="s">
        <v>616</v>
      </c>
      <c r="D52" s="12">
        <v>9</v>
      </c>
    </row>
    <row r="53" spans="1:4" x14ac:dyDescent="0.2">
      <c r="A53" s="16"/>
      <c r="B53" s="29" t="s">
        <v>834</v>
      </c>
      <c r="C53" s="16"/>
      <c r="D53" s="30">
        <f>SUM(D38:D52)</f>
        <v>130</v>
      </c>
    </row>
    <row r="55" spans="1:4" ht="15" customHeight="1" x14ac:dyDescent="0.2">
      <c r="A55" s="1" t="s">
        <v>835</v>
      </c>
      <c r="B55" s="1"/>
      <c r="C55" s="1"/>
      <c r="D55" s="31">
        <f>D19+D36+D53</f>
        <v>354</v>
      </c>
    </row>
  </sheetData>
  <mergeCells count="5">
    <mergeCell ref="A1:D1"/>
    <mergeCell ref="A3:D3"/>
    <mergeCell ref="A20:D20"/>
    <mergeCell ref="A37:D37"/>
    <mergeCell ref="A55:C5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Care Gap Bundles 31-45</vt:lpstr>
      <vt:lpstr>Bundle Summary 31-45</vt:lpstr>
      <vt:lpstr>Patient Example</vt:lpstr>
      <vt:lpstr>Overlap Map 31-45</vt:lpstr>
      <vt:lpstr>Grand Master Index (All 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2026-02-26T02:41:35Z</dcterms:created>
  <dcterms:modified xsi:type="dcterms:W3CDTF">2026-02-26T02:43:49Z</dcterms:modified>
  <dc:language>en-US</dc:language>
</cp:coreProperties>
</file>