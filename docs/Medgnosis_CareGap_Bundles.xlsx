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doshi/Desktop/Acumenus/"/>
    </mc:Choice>
  </mc:AlternateContent>
  <xr:revisionPtr revIDLastSave="0" documentId="8_{A9F5B47B-074A-454F-9775-292B20A2EA35}" xr6:coauthVersionLast="47" xr6:coauthVersionMax="47" xr10:uidLastSave="{00000000-0000-0000-0000-000000000000}"/>
  <bookViews>
    <workbookView xWindow="26140" yWindow="580" windowWidth="33760" windowHeight="29560" tabRatio="500" xr2:uid="{00000000-000D-0000-FFFF-FFFF00000000}"/>
  </bookViews>
  <sheets>
    <sheet name="Care Gap Bundles" sheetId="1" r:id="rId1"/>
    <sheet name="Bundle Summary" sheetId="2" r:id="rId2"/>
    <sheet name="Patient Example" sheetId="3" r:id="rId3"/>
    <sheet name="Overlap Map" sheetId="4" r:id="rId4"/>
  </sheets>
  <definedNames>
    <definedName name="_xlnm._FilterDatabase" localSheetId="0" hidden="1">'Care Gap Bundles'!$A$1:$G$1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3" l="1"/>
  <c r="B33" i="3"/>
  <c r="B32" i="3"/>
  <c r="B35" i="3" s="1"/>
  <c r="D17" i="2"/>
</calcChain>
</file>

<file path=xl/sharedStrings.xml><?xml version="1.0" encoding="utf-8"?>
<sst xmlns="http://schemas.openxmlformats.org/spreadsheetml/2006/main" count="967" uniqueCount="630">
  <si>
    <t>Measure ID</t>
  </si>
  <si>
    <t>Condition</t>
  </si>
  <si>
    <t>Care Gap Measure</t>
  </si>
  <si>
    <t>Description &amp; Action Required</t>
  </si>
  <si>
    <t>Frequency</t>
  </si>
  <si>
    <t>eCQM / Guideline Reference</t>
  </si>
  <si>
    <t>Bundle Size</t>
  </si>
  <si>
    <t>Type 2 Diabetes Mellitus  (E11.x)</t>
  </si>
  <si>
    <t>DM-01</t>
  </si>
  <si>
    <t>Type 2 Diabetes Mellitus</t>
  </si>
  <si>
    <t>HbA1c Testing</t>
  </si>
  <si>
    <t>Order and document HbA1c result; assess glycemic control against patient-specific target</t>
  </si>
  <si>
    <t>Every 6 months (minimum annually)</t>
  </si>
  <si>
    <t>CMS122v12 / NQF 0059</t>
  </si>
  <si>
    <t>DM-02</t>
  </si>
  <si>
    <t>HbA1c Poor Control Screening</t>
  </si>
  <si>
    <t>Flag patients with most recent HbA1c &gt; 9.0%; initiate medication adjustment or referral</t>
  </si>
  <si>
    <t>Annually</t>
  </si>
  <si>
    <t>DM-03</t>
  </si>
  <si>
    <t>Dilated Retinal Eye Exam</t>
  </si>
  <si>
    <t>Refer for or document completed dilated fundoscopic exam by ophthalmology/optometry</t>
  </si>
  <si>
    <t>CMS131v12 / NQF 0055</t>
  </si>
  <si>
    <t>DM-04</t>
  </si>
  <si>
    <t>Nephropathy Screening (uACR)</t>
  </si>
  <si>
    <t>Order urine albumin-to-creatinine ratio to screen for diabetic nephropathy</t>
  </si>
  <si>
    <t>CMS134v12 / NQF 0062</t>
  </si>
  <si>
    <t>DM-05</t>
  </si>
  <si>
    <t>Blood Pressure Control (&lt;140/90)</t>
  </si>
  <si>
    <t>Measure and document BP; confirm most recent reading &lt; 140/90 mmHg</t>
  </si>
  <si>
    <t>Every visit (assess annually)</t>
  </si>
  <si>
    <t>CMS165v12 / NQF 0018</t>
  </si>
  <si>
    <t>DM-06</t>
  </si>
  <si>
    <t>Statin Therapy Prescribed</t>
  </si>
  <si>
    <t>Confirm active statin prescription for patients aged 40–75 with diabetes and LDL ≥ 70</t>
  </si>
  <si>
    <t>CMS347v7 / NQF 0543 (ACC/AHA)</t>
  </si>
  <si>
    <t>DM-07</t>
  </si>
  <si>
    <t>Foot Examination</t>
  </si>
  <si>
    <t>Perform comprehensive foot exam including monofilament, pedal pulses, and skin inspection</t>
  </si>
  <si>
    <t>ADA Standard of Care</t>
  </si>
  <si>
    <t>DM-08</t>
  </si>
  <si>
    <t>Diabetes Self-Management Education</t>
  </si>
  <si>
    <t>Refer to or document completion of DSME/DSMS program; assess self-care behaviors</t>
  </si>
  <si>
    <t>At diagnosis + annually</t>
  </si>
  <si>
    <t>ADA Standard / HEDIS</t>
  </si>
  <si>
    <t>Hypertension (HTN)  (I10–I16)</t>
  </si>
  <si>
    <t>HTN-01</t>
  </si>
  <si>
    <t>Hypertension (HTN)</t>
  </si>
  <si>
    <t>Blood Pressure Measurement</t>
  </si>
  <si>
    <t>Measure and document seated BP using proper technique; confirm &lt; 140/90 (or &lt; 130/80 if high-risk)</t>
  </si>
  <si>
    <t>Every visit</t>
  </si>
  <si>
    <t>HTN-02</t>
  </si>
  <si>
    <t>Antihypertensive Medication Review</t>
  </si>
  <si>
    <t>Review current antihypertensive regimen; assess adherence and side effects</t>
  </si>
  <si>
    <t>CMS165v12</t>
  </si>
  <si>
    <t>HTN-03</t>
  </si>
  <si>
    <t>Basic Metabolic Panel (BMP)</t>
  </si>
  <si>
    <t>Order BMP to monitor renal function (creatinine/eGFR) and electrolytes for medication safety</t>
  </si>
  <si>
    <t>Annually (or per med change)</t>
  </si>
  <si>
    <t>ACC/AHA Guideline</t>
  </si>
  <si>
    <t>HTN-04</t>
  </si>
  <si>
    <t>Lipid Panel</t>
  </si>
  <si>
    <t>Order fasting lipid panel; assess cardiovascular risk and statin eligibility</t>
  </si>
  <si>
    <t>CMS347v7</t>
  </si>
  <si>
    <t>HTN-05</t>
  </si>
  <si>
    <t>ASCVD Risk Assessment</t>
  </si>
  <si>
    <t>Calculate 10-year ASCVD risk score using Pooled Cohort Equations</t>
  </si>
  <si>
    <t>Every 4–6 years (or annually if borderline)</t>
  </si>
  <si>
    <t>HTN-06</t>
  </si>
  <si>
    <t>Lifestyle Counseling Documented</t>
  </si>
  <si>
    <t>Document counseling on DASH diet, sodium restriction, physical activity, weight management, and alcohol moderation</t>
  </si>
  <si>
    <t>ACC/AHA / CMS Quality</t>
  </si>
  <si>
    <t>Coronary Artery Disease (CAD)  (I25.x)</t>
  </si>
  <si>
    <t>CAD-01</t>
  </si>
  <si>
    <t>Coronary Artery Disease (CAD)</t>
  </si>
  <si>
    <t>Antiplatelet/Anticoagulant Therapy</t>
  </si>
  <si>
    <t>Confirm active prescription for aspirin or P2Y12 inhibitor (or anticoagulant if AF comorbid)</t>
  </si>
  <si>
    <t>CMS164v12 / NQF 0068</t>
  </si>
  <si>
    <t>CAD-02</t>
  </si>
  <si>
    <t>Statin Therapy (High-Intensity)</t>
  </si>
  <si>
    <t>Confirm high-intensity statin prescribed; document LDL target achievement</t>
  </si>
  <si>
    <t>CMS347v7 / NQF 0543</t>
  </si>
  <si>
    <t>CAD-03</t>
  </si>
  <si>
    <t>Beta-Blocker Post-MI</t>
  </si>
  <si>
    <t>For patients with prior MI: confirm beta-blocker prescription</t>
  </si>
  <si>
    <t>Annually (if applicable)</t>
  </si>
  <si>
    <t>CAD-04</t>
  </si>
  <si>
    <t>ACE-I/ARB if EF Reduced</t>
  </si>
  <si>
    <t>For patients with reduced EF (≤ 40%): confirm ACE inhibitor or ARB prescribed</t>
  </si>
  <si>
    <t>CMS144v12 / NQF 0081</t>
  </si>
  <si>
    <t>CAD-05</t>
  </si>
  <si>
    <t>Blood Pressure Control</t>
  </si>
  <si>
    <t>Measure BP; target &lt; 130/80 mmHg per ACC/AHA secondary prevention guidelines</t>
  </si>
  <si>
    <t>CAD-06</t>
  </si>
  <si>
    <t>Lipid Panel &amp; LDL Assessment</t>
  </si>
  <si>
    <t>Order fasting lipid panel; assess LDL reduction ≥ 50% from baseline on high-intensity statin</t>
  </si>
  <si>
    <t>CAD-07</t>
  </si>
  <si>
    <t>Smoking Cessation Intervention</t>
  </si>
  <si>
    <t>Screen tobacco use; provide cessation counseling and/or pharmacotherapy if active smoker</t>
  </si>
  <si>
    <t>CMS138v12 / NQF 0028</t>
  </si>
  <si>
    <t>CAD-08</t>
  </si>
  <si>
    <t>Cardiac Rehabilitation Referral</t>
  </si>
  <si>
    <t>For qualifying events (MI, PCI, CABG): document referral to cardiac rehab program</t>
  </si>
  <si>
    <t>Post-event</t>
  </si>
  <si>
    <t>CMS Quality / ACC</t>
  </si>
  <si>
    <t>Heart Failure (HF)  (I50.x)</t>
  </si>
  <si>
    <t>HF-01</t>
  </si>
  <si>
    <t>Heart Failure (HF)</t>
  </si>
  <si>
    <t>LVEF Documentation</t>
  </si>
  <si>
    <t>Document most recent left ventricular ejection fraction from echocardiogram</t>
  </si>
  <si>
    <t>At diagnosis + as clinically indicated</t>
  </si>
  <si>
    <t>HF-02</t>
  </si>
  <si>
    <t>ACEi/ARB/ARNI Prescribed (HFrEF)</t>
  </si>
  <si>
    <t>Confirm RAAS inhibitor (ACEi, ARB, or sacubitril/valsartan) for EF ≤ 40%</t>
  </si>
  <si>
    <t>HF-03</t>
  </si>
  <si>
    <t>Beta-Blocker Prescribed (HFrEF)</t>
  </si>
  <si>
    <t>Confirm evidence-based beta-blocker (carvedilol, metoprolol succinate, or bisoprolol) for EF ≤ 40%</t>
  </si>
  <si>
    <t>CMS145v12 / NQF 0083</t>
  </si>
  <si>
    <t>HF-04</t>
  </si>
  <si>
    <t>Daily Weight Monitoring Education</t>
  </si>
  <si>
    <t>Document patient education on daily weights and fluid restriction; confirm monitoring plan</t>
  </si>
  <si>
    <t>ACC/AHA HF Guideline</t>
  </si>
  <si>
    <t>HF-05</t>
  </si>
  <si>
    <t>Symptom &amp; Functional Assessment</t>
  </si>
  <si>
    <t>Document NYHA functional class; assess exercise tolerance and symptom burden</t>
  </si>
  <si>
    <t>HF-06</t>
  </si>
  <si>
    <t>Diuretic Dose Optimization</t>
  </si>
  <si>
    <t>Review loop diuretic dosing relative to volume status; assess for signs of congestion or dehydration</t>
  </si>
  <si>
    <t>HF-07</t>
  </si>
  <si>
    <t>SGLT2 Inhibitor Consideration</t>
  </si>
  <si>
    <t>For HFrEF and HFpEF: document consideration/prescription of SGLT2 inhibitor</t>
  </si>
  <si>
    <t>ACC/AHA 2022 Update</t>
  </si>
  <si>
    <t>Chronic Obstructive Pulmonary Disease (COPD)  (J44.x)</t>
  </si>
  <si>
    <t>COPD-01</t>
  </si>
  <si>
    <t>Chronic Obstructive Pulmonary Disease (COPD)</t>
  </si>
  <si>
    <t>Spirometry Documented</t>
  </si>
  <si>
    <t>Confirm FEV1/FVC ratio &lt; 0.70 with post-bronchodilator spirometry; document GOLD stage</t>
  </si>
  <si>
    <t>At diagnosis + as indicated</t>
  </si>
  <si>
    <t>CMS Quality / ATS</t>
  </si>
  <si>
    <t>COPD-02</t>
  </si>
  <si>
    <t>Inhaler Technique Assessment</t>
  </si>
  <si>
    <t>Observe and document proper inhaler/nebulizer technique; correct errors</t>
  </si>
  <si>
    <t>GOLD Guideline</t>
  </si>
  <si>
    <t>COPD-03</t>
  </si>
  <si>
    <t>Bronchodilator Therapy Review</t>
  </si>
  <si>
    <t>Review short-acting and long-acting bronchodilator regimen (SABA, LAMA, LABA); step therapy per GOLD</t>
  </si>
  <si>
    <t>COPD-04</t>
  </si>
  <si>
    <t>Annual Influenza Vaccination</t>
  </si>
  <si>
    <t>Administer or document influenza vaccine</t>
  </si>
  <si>
    <t>Annually (fall)</t>
  </si>
  <si>
    <t>CMS127v12 / NQF 0041</t>
  </si>
  <si>
    <t>COPD-05</t>
  </si>
  <si>
    <t>Pneumococcal Vaccination</t>
  </si>
  <si>
    <t>Administer or document pneumococcal vaccination per ACIP schedule (PCV20 or PCV15+PPSV23)</t>
  </si>
  <si>
    <t>Per ACIP schedule</t>
  </si>
  <si>
    <t>CMS127v12 / ACIP</t>
  </si>
  <si>
    <t>COPD-06</t>
  </si>
  <si>
    <t>Screen for tobacco use; provide counseling and/or pharmacotherapy (varenicline, NRT)</t>
  </si>
  <si>
    <t>COPD-07</t>
  </si>
  <si>
    <t>Exacerbation History &amp; Action Plan</t>
  </si>
  <si>
    <t>Document exacerbation frequency in past 12 months; provide written COPD action plan</t>
  </si>
  <si>
    <t>COPD-08</t>
  </si>
  <si>
    <t>Pulmonary Rehabilitation Referral</t>
  </si>
  <si>
    <t>For GOLD stage B–D or post-exacerbation: refer to pulmonary rehabilitation</t>
  </si>
  <si>
    <t>As indicated</t>
  </si>
  <si>
    <t>GOLD Guideline / CMS</t>
  </si>
  <si>
    <t>Asthma  (J45.x)</t>
  </si>
  <si>
    <t>ASTH-01</t>
  </si>
  <si>
    <t>Asthma</t>
  </si>
  <si>
    <t>Asthma Control Assessment (ACT/ACQ)</t>
  </si>
  <si>
    <t>Administer validated asthma control tool (ACT score ≥ 20 = well controlled)</t>
  </si>
  <si>
    <t>NAEPP EPR-4 / CMS</t>
  </si>
  <si>
    <t>ASTH-02</t>
  </si>
  <si>
    <t>Controller Medication Review</t>
  </si>
  <si>
    <t>Assess ICS adherence and step therapy; adjust controller per NAEPP stepwise approach</t>
  </si>
  <si>
    <t>CMS Quality</t>
  </si>
  <si>
    <t>ASTH-03</t>
  </si>
  <si>
    <t>Written Asthma Action Plan</t>
  </si>
  <si>
    <t>Provide or update personalized asthma action plan (green/yellow/red zones)</t>
  </si>
  <si>
    <t>NAEPP EPR-4</t>
  </si>
  <si>
    <t>ASTH-04</t>
  </si>
  <si>
    <t>Observe and correct MDI/DPI technique; document competency</t>
  </si>
  <si>
    <t>ASTH-05</t>
  </si>
  <si>
    <t>Tobacco Smoke Exposure Screening</t>
  </si>
  <si>
    <t>Screen for active smoking and secondhand smoke exposure; counsel on avoidance</t>
  </si>
  <si>
    <t>CMS138v12 / NAEPP</t>
  </si>
  <si>
    <t>ASTH-06</t>
  </si>
  <si>
    <t>Spirometry (Lung Function)</t>
  </si>
  <si>
    <t>Perform or document spirometry to assess airflow obstruction and reversibility</t>
  </si>
  <si>
    <t>ASTH-07</t>
  </si>
  <si>
    <t>Influenza Vaccination</t>
  </si>
  <si>
    <t>Administer or document annual influenza vaccine</t>
  </si>
  <si>
    <t>Chronic Kidney Disease (CKD)  (N18.x)</t>
  </si>
  <si>
    <t>CKD-01</t>
  </si>
  <si>
    <t>Chronic Kidney Disease (CKD)</t>
  </si>
  <si>
    <t>eGFR Measurement</t>
  </si>
  <si>
    <t>Order serum creatinine and calculate eGFR (CKD-EPI); document CKD stage (G1–G5)</t>
  </si>
  <si>
    <t>Every 6 months (quarterly if stage 4–5)</t>
  </si>
  <si>
    <t>KDIGO Guideline</t>
  </si>
  <si>
    <t>CKD-02</t>
  </si>
  <si>
    <t>Urine Albumin-to-Creatinine Ratio</t>
  </si>
  <si>
    <t>Order uACR to quantify proteinuria; classify albuminuria category (A1–A3)</t>
  </si>
  <si>
    <t>Annually (quarterly if A3)</t>
  </si>
  <si>
    <t>CMS134v12 / KDIGO</t>
  </si>
  <si>
    <t>CKD-03</t>
  </si>
  <si>
    <t>Blood Pressure Control (&lt;130/80)</t>
  </si>
  <si>
    <t>Measure BP; target &lt; 130/80 per KDIGO; preferentially use ACEi/ARB if albuminuria present</t>
  </si>
  <si>
    <t>CMS165v12 / KDIGO</t>
  </si>
  <si>
    <t>CKD-04</t>
  </si>
  <si>
    <t>RAAS Inhibitor if Proteinuric</t>
  </si>
  <si>
    <t>Confirm ACEi or ARB prescribed for patients with uACR ≥ 30 mg/g (category A2–A3)</t>
  </si>
  <si>
    <t>CKD-05</t>
  </si>
  <si>
    <t>Metabolic Panel (Ca/Phos/PTH/Bicarb)</t>
  </si>
  <si>
    <t>Order calcium, phosphorus, PTH (stage 3b+), and serum bicarbonate to monitor CKD-MBD and acidosis</t>
  </si>
  <si>
    <t>Every 6–12 months per stage</t>
  </si>
  <si>
    <t>CKD-06</t>
  </si>
  <si>
    <t>Anemia Screening (CBC + Iron Studies)</t>
  </si>
  <si>
    <t>Order CBC and iron studies (ferritin, TSAT); initiate ESA or iron if Hgb &lt; 10 and iron-deficient</t>
  </si>
  <si>
    <t>Annually (more often stage 4–5)</t>
  </si>
  <si>
    <t>CKD-07</t>
  </si>
  <si>
    <t>Nephrotoxin Avoidance Review</t>
  </si>
  <si>
    <t>Review medication list for nephrotoxins (NSAIDs, contrast, aminoglycosides); document avoidance counseling</t>
  </si>
  <si>
    <t>KDIGO / Patient Safety</t>
  </si>
  <si>
    <t>CKD-08</t>
  </si>
  <si>
    <t>Nephrology Referral (Stage 4+)</t>
  </si>
  <si>
    <t>For eGFR &lt; 30 or rapid decline (&gt;5 mL/min/year): document nephrology referral and AV fistula planning</t>
  </si>
  <si>
    <t>As indicated (stage 4–5)</t>
  </si>
  <si>
    <t>CKD-09</t>
  </si>
  <si>
    <t>For CKD with eGFR 20–75 and albuminuria: document consideration/prescription of SGLT2 inhibitor</t>
  </si>
  <si>
    <t>KDIGO 2024 Update</t>
  </si>
  <si>
    <t>Atrial Fibrillation (AFib)  (I48.x)</t>
  </si>
  <si>
    <t>AFIB-01</t>
  </si>
  <si>
    <t>Atrial Fibrillation (AFib)</t>
  </si>
  <si>
    <t>CHA₂DS₂-VASc Score Calculation</t>
  </si>
  <si>
    <t>Calculate and document CHA₂DS₂-VASc score to determine stroke risk and anticoagulation indication</t>
  </si>
  <si>
    <t>CMS Quality / ACC/AHA</t>
  </si>
  <si>
    <t>AFIB-02</t>
  </si>
  <si>
    <t>Oral Anticoagulation Prescribed</t>
  </si>
  <si>
    <t>For CHA₂DS₂-VASc ≥ 2 (men) or ≥ 3 (women): confirm DOAC or warfarin prescribed</t>
  </si>
  <si>
    <t>AFIB-03</t>
  </si>
  <si>
    <t>INR Monitoring (if on Warfarin)</t>
  </si>
  <si>
    <t>For warfarin patients: document TTR (time in therapeutic range 2.0–3.0); target TTR &gt; 70%</t>
  </si>
  <si>
    <t>Monthly (or per protocol)</t>
  </si>
  <si>
    <t>AFIB-04</t>
  </si>
  <si>
    <t>Heart Rate Control Assessment</t>
  </si>
  <si>
    <t>Document resting heart rate; target &lt; 110 bpm (lenient) or &lt; 80 bpm (strict) per strategy</t>
  </si>
  <si>
    <t>AFIB-05</t>
  </si>
  <si>
    <t>Bleeding Risk Assessment (HAS-BLED)</t>
  </si>
  <si>
    <t>Calculate and document HAS-BLED score; address modifiable bleeding risk factors</t>
  </si>
  <si>
    <t>ACC/AHA / ESC Guideline</t>
  </si>
  <si>
    <t>AFIB-06</t>
  </si>
  <si>
    <t>Renal Function Monitoring</t>
  </si>
  <si>
    <t>Order serum creatinine/eGFR to guide DOAC dosing; adjust dose per renal function thresholds</t>
  </si>
  <si>
    <t>Every 6–12 months</t>
  </si>
  <si>
    <t>DOAC Prescribing / CMS</t>
  </si>
  <si>
    <t>Major Depressive Disorder (MDD)  (F32–F33)</t>
  </si>
  <si>
    <t>MDD-01</t>
  </si>
  <si>
    <t>Major Depressive Disorder (MDD)</t>
  </si>
  <si>
    <t>PHQ-9 Depression Screening</t>
  </si>
  <si>
    <t>Administer PHQ-9; document score and severity category (mild/moderate/severe)</t>
  </si>
  <si>
    <t>Every visit (minimum every 3 months)</t>
  </si>
  <si>
    <t>CMS159v12 / NQF 0710</t>
  </si>
  <si>
    <t>MDD-02</t>
  </si>
  <si>
    <t>Remission Assessment at 12 Months</t>
  </si>
  <si>
    <t>For new episodes: document PHQ-9 &lt; 5 (remission) at 12-month follow-up</t>
  </si>
  <si>
    <t>12 months from index</t>
  </si>
  <si>
    <t>MDD-03</t>
  </si>
  <si>
    <t>Antidepressant Medication Management (Acute)</t>
  </si>
  <si>
    <t>For new prescriptions: confirm follow-up within 84 days of starting antidepressant</t>
  </si>
  <si>
    <t>84 days post-initiation</t>
  </si>
  <si>
    <t>CMS128v12 / HEDIS AMM</t>
  </si>
  <si>
    <t>MDD-04</t>
  </si>
  <si>
    <t>Antidepressant Continuation Phase</t>
  </si>
  <si>
    <t>Document continuation of antidepressant for ≥ 180 days from initial prescription</t>
  </si>
  <si>
    <t>180 days post-initiation</t>
  </si>
  <si>
    <t>MDD-05</t>
  </si>
  <si>
    <t>Suicide Risk Assessment</t>
  </si>
  <si>
    <t>Screen for suicidal ideation using validated tool (C-SSRS or PHQ-9 Item 9); document safety plan if positive</t>
  </si>
  <si>
    <t>CMS Quality / Joint Commission</t>
  </si>
  <si>
    <t>MDD-06</t>
  </si>
  <si>
    <t>Functional Status Assessment</t>
  </si>
  <si>
    <t>Document impact on work, relationships, and daily functioning; assess disability level</t>
  </si>
  <si>
    <t>APA Guideline</t>
  </si>
  <si>
    <t>MDD-07</t>
  </si>
  <si>
    <t>Psychotherapy Referral/Documentation</t>
  </si>
  <si>
    <t>Document referral to or engagement in evidence-based psychotherapy (CBT, IPT)</t>
  </si>
  <si>
    <t>At diagnosis + ongoing</t>
  </si>
  <si>
    <t>APA Guideline / HEDIS</t>
  </si>
  <si>
    <t>Osteoporosis  (M80–M81)</t>
  </si>
  <si>
    <t>OSTEO-01</t>
  </si>
  <si>
    <t>Osteoporosis</t>
  </si>
  <si>
    <t>DXA Bone Density Scan</t>
  </si>
  <si>
    <t>Order DXA scan of hip and lumbar spine; document T-score and diagnosis (osteopenia vs. osteoporosis)</t>
  </si>
  <si>
    <t>Every 2 years (or per risk)</t>
  </si>
  <si>
    <t>CMS249v5 / NQF 0053</t>
  </si>
  <si>
    <t>OSTEO-02</t>
  </si>
  <si>
    <t>FRAX Risk Assessment</t>
  </si>
  <si>
    <t>Calculate 10-year fracture probability using FRAX; document major osteoporotic and hip fracture risk</t>
  </si>
  <si>
    <t>At diagnosis + every 2 years</t>
  </si>
  <si>
    <t>NOF / AACE Guideline</t>
  </si>
  <si>
    <t>OSTEO-03</t>
  </si>
  <si>
    <t>Pharmacologic Treatment Prescribed</t>
  </si>
  <si>
    <t>For T-score ≤ -2.5 or FRAX-indicated: confirm bisphosphonate, denosumab, or anabolic agent prescribed</t>
  </si>
  <si>
    <t>CMS249v5 / NOF</t>
  </si>
  <si>
    <t>OSTEO-04</t>
  </si>
  <si>
    <t>Calcium &amp; Vitamin D Assessment</t>
  </si>
  <si>
    <t>Document dietary calcium intake and serum 25(OH)D level; supplement to target D &gt; 30 ng/mL</t>
  </si>
  <si>
    <t>NOF / Endocrine Society</t>
  </si>
  <si>
    <t>OSTEO-05</t>
  </si>
  <si>
    <t>Fall Risk Assessment</t>
  </si>
  <si>
    <t>Screen for fall risk (Timed Up and Go, balance assessment); address modifiable risk factors</t>
  </si>
  <si>
    <t>CMS Quality / AGS</t>
  </si>
  <si>
    <t>OSTEO-06</t>
  </si>
  <si>
    <t>Post-Fracture Care Coordination</t>
  </si>
  <si>
    <t>For patients with fragility fracture: confirm osteoporosis workup initiated and treatment started</t>
  </si>
  <si>
    <t>Within 6 months of fracture</t>
  </si>
  <si>
    <t>CMS249v5 / FLS Model</t>
  </si>
  <si>
    <t>Obesity  (E66.x)</t>
  </si>
  <si>
    <t>OB-01</t>
  </si>
  <si>
    <t>Obesity</t>
  </si>
  <si>
    <t>BMI Screening &amp; Documentation</t>
  </si>
  <si>
    <t>Measure height and weight; calculate and document BMI; classify obesity severity (Class I–III)</t>
  </si>
  <si>
    <t>Every visit (minimum annually)</t>
  </si>
  <si>
    <t>CMS69v12 / NQF 0421</t>
  </si>
  <si>
    <t>OB-02</t>
  </si>
  <si>
    <t>Follow-up Plan Documented</t>
  </si>
  <si>
    <t>For BMI ≥ 25: document follow-up plan including dietary counseling, exercise, or referral</t>
  </si>
  <si>
    <t>OB-03</t>
  </si>
  <si>
    <t>Nutritional Counseling Referral</t>
  </si>
  <si>
    <t>Refer to registered dietitian or intensive behavioral therapy (IBT) program</t>
  </si>
  <si>
    <t>USPSTF Grade B / CMS</t>
  </si>
  <si>
    <t>OB-04</t>
  </si>
  <si>
    <t>Physical Activity Assessment</t>
  </si>
  <si>
    <t>Document current physical activity level; counsel on 150 min/week moderate-intensity goal</t>
  </si>
  <si>
    <t>ACC/AHA Obesity Guideline</t>
  </si>
  <si>
    <t>OB-05</t>
  </si>
  <si>
    <t>Comorbidity Screening Panel</t>
  </si>
  <si>
    <t>Order screening labs: fasting glucose or HbA1c, lipid panel, liver function (NAFLD screening)</t>
  </si>
  <si>
    <t>ACC/AHA / Endocrine Society</t>
  </si>
  <si>
    <t>OB-06</t>
  </si>
  <si>
    <t>Weight Management Pharmacotherapy Review</t>
  </si>
  <si>
    <t>For BMI ≥ 30 (or ≥ 27 with comorbidity): discuss anti-obesity medication options (GLP-1 RA, etc.)</t>
  </si>
  <si>
    <t>Endocrine Society / AGA</t>
  </si>
  <si>
    <t>Chronic Liver Disease / NAFLD-MASLD  (K76.0 / K74.x)</t>
  </si>
  <si>
    <t>CLD-01</t>
  </si>
  <si>
    <t>Chronic Liver Disease / NAFLD-MASLD</t>
  </si>
  <si>
    <t>FIB-4 / NFS Fibrosis Scoring</t>
  </si>
  <si>
    <t>Calculate FIB-4 index or NAFLD Fibrosis Score to stratify fibrosis risk (low/intermediate/high)</t>
  </si>
  <si>
    <t>AASLD Guideline</t>
  </si>
  <si>
    <t>CLD-02</t>
  </si>
  <si>
    <t>Liver Function Panel (AST/ALT/ALP)</t>
  </si>
  <si>
    <t>Order comprehensive hepatic panel; trend transaminase levels for disease progression</t>
  </si>
  <si>
    <t>CLD-03</t>
  </si>
  <si>
    <t>Elastography or Advanced Fibrosis Assessment</t>
  </si>
  <si>
    <t>For intermediate/high FIB-4: order vibration-controlled transient elastography (FibroScan) or MRE</t>
  </si>
  <si>
    <t>Every 1–2 years if elevated FIB-4</t>
  </si>
  <si>
    <t>CLD-04</t>
  </si>
  <si>
    <t>Hepatitis B &amp; C Screening</t>
  </si>
  <si>
    <t>Document HBsAg, anti-HCV status; treat or refer if positive</t>
  </si>
  <si>
    <t>Once (or per risk factors)</t>
  </si>
  <si>
    <t>CMS349v6 / USPSTF</t>
  </si>
  <si>
    <t>CLD-05</t>
  </si>
  <si>
    <t>HCC Surveillance (if Cirrhotic)</t>
  </si>
  <si>
    <t>For confirmed cirrhosis: order abdominal ultrasound ± AFP every 6 months for hepatocellular carcinoma screening</t>
  </si>
  <si>
    <t>Every 6 months</t>
  </si>
  <si>
    <t>AASLD HCC Guideline</t>
  </si>
  <si>
    <t>CLD-06</t>
  </si>
  <si>
    <t>Metabolic Comorbidity Management</t>
  </si>
  <si>
    <t>Optimize glycemic control, lipid management, and weight loss (target ≥ 7–10% body weight reduction)</t>
  </si>
  <si>
    <t>AASLD / ADA / ACC</t>
  </si>
  <si>
    <t>CLD-07</t>
  </si>
  <si>
    <t>Alcohol Use Assessment (AUDIT-C)</t>
  </si>
  <si>
    <t>Screen for alcohol use with AUDIT-C; counsel on abstinence if liver disease present</t>
  </si>
  <si>
    <t>CMS Quality / USPSTF</t>
  </si>
  <si>
    <t>Rheumatoid Arthritis (RA)  (M05–M06)</t>
  </si>
  <si>
    <t>RA-01</t>
  </si>
  <si>
    <t>Rheumatoid Arthritis (RA)</t>
  </si>
  <si>
    <t>Disease Activity Assessment (DAS28/CDAI)</t>
  </si>
  <si>
    <t>Calculate and document composite disease activity score; classify remission/low/moderate/high</t>
  </si>
  <si>
    <t>Every visit (every 3–6 months)</t>
  </si>
  <si>
    <t>ACR Guideline / MIPS</t>
  </si>
  <si>
    <t>RA-02</t>
  </si>
  <si>
    <t>DMARD Therapy Prescribed</t>
  </si>
  <si>
    <t>Confirm conventional DMARD (methotrexate preferred) or biologic/JAK inhibitor prescribed per treat-to-target</t>
  </si>
  <si>
    <t>ACR Guideline</t>
  </si>
  <si>
    <t>RA-03</t>
  </si>
  <si>
    <t>Lab Monitoring (CBC, LFTs, CRP/ESR)</t>
  </si>
  <si>
    <t>Order CBC, hepatic panel, and inflammatory markers for DMARD safety monitoring</t>
  </si>
  <si>
    <t>Every 3 months (per DMARD)</t>
  </si>
  <si>
    <t>RA-04</t>
  </si>
  <si>
    <t>Tuberculosis Screening (pre-Biologic)</t>
  </si>
  <si>
    <t>For biologic-naïve patients: document TB screening (QuantiFERON or PPD) before initiation</t>
  </si>
  <si>
    <t>Before biologic start</t>
  </si>
  <si>
    <t>ACR Guideline / CDC</t>
  </si>
  <si>
    <t>RA-05</t>
  </si>
  <si>
    <t>Hepatitis B/C Screening (pre-Biologic)</t>
  </si>
  <si>
    <t>Screen for HBV/HCV before starting immunosuppressive biologic therapy</t>
  </si>
  <si>
    <t>RA-06</t>
  </si>
  <si>
    <t>Cardiovascular Risk Assessment</t>
  </si>
  <si>
    <t>Assess and document ASCVD risk (RA confers 1.5x CV risk multiplier); manage lipids aggressively</t>
  </si>
  <si>
    <t>ACC/AHA / EULAR</t>
  </si>
  <si>
    <t>RA-07</t>
  </si>
  <si>
    <t>Bone Density Screening</t>
  </si>
  <si>
    <t>For chronic glucocorticoid use (≥ 3 months): order DXA scan and initiate osteoporosis prevention</t>
  </si>
  <si>
    <t>Per glucocorticoid use</t>
  </si>
  <si>
    <t>ACR Osteoporosis Guideline</t>
  </si>
  <si>
    <t>RA-08</t>
  </si>
  <si>
    <t>Vaccination Status Review</t>
  </si>
  <si>
    <t>Confirm age-appropriate vaccines including influenza, pneumococcal, and COVID-19 (ideally before starting immunosuppression)</t>
  </si>
  <si>
    <t>ACR / ACIP</t>
  </si>
  <si>
    <t>Peripheral Artery Disease (PAD)  (I73.9 / I70.2x)</t>
  </si>
  <si>
    <t>PAD-01</t>
  </si>
  <si>
    <t>Peripheral Artery Disease (PAD)</t>
  </si>
  <si>
    <t>Ankle-Brachial Index (ABI)</t>
  </si>
  <si>
    <t>Measure and document ABI; confirm diagnosis (ABI &lt; 0.9) and severity classification</t>
  </si>
  <si>
    <t>ACC/AHA PAD Guideline</t>
  </si>
  <si>
    <t>PAD-02</t>
  </si>
  <si>
    <t>Antiplatelet Therapy Prescribed</t>
  </si>
  <si>
    <t>Confirm aspirin or clopidogrel prescribed for symptomatic PAD</t>
  </si>
  <si>
    <t>CMS164v12 / ACC/AHA</t>
  </si>
  <si>
    <t>PAD-03</t>
  </si>
  <si>
    <t>Confirm high-intensity statin prescribed; PAD is an ASCVD equivalent</t>
  </si>
  <si>
    <t>CMS347v7 / ACC/AHA</t>
  </si>
  <si>
    <t>PAD-04</t>
  </si>
  <si>
    <t>Measure BP; target &lt; 130/80 per ACC/AHA vascular disease guidelines</t>
  </si>
  <si>
    <t>PAD-05</t>
  </si>
  <si>
    <t>Screen tobacco use; single most impactful intervention for PAD progression—offer pharmacotherapy</t>
  </si>
  <si>
    <t>CMS138v12 / ACC/AHA</t>
  </si>
  <si>
    <t>PAD-06</t>
  </si>
  <si>
    <t>Supervised Exercise Therapy Referral</t>
  </si>
  <si>
    <t>Refer to supervised exercise program (SET); structured walking therapy is first-line for claudication</t>
  </si>
  <si>
    <t>At diagnosis</t>
  </si>
  <si>
    <t>ACC/AHA / CMS</t>
  </si>
  <si>
    <t>PAD-07</t>
  </si>
  <si>
    <t>Foot &amp; Wound Inspection</t>
  </si>
  <si>
    <t>Inspect feet for ulcers, skin breakdown, and signs of critical limb ischemia; document findings</t>
  </si>
  <si>
    <t>Hypothyroidism  (E03.x)</t>
  </si>
  <si>
    <t>HYPO-01</t>
  </si>
  <si>
    <t>Hypothyroidism</t>
  </si>
  <si>
    <t>TSH Monitoring</t>
  </si>
  <si>
    <t>Order serum TSH to assess levothyroxine dose adequacy; target TSH in age-appropriate reference range</t>
  </si>
  <si>
    <t>Every 6–12 months (6–8 weeks post dose change)</t>
  </si>
  <si>
    <t>ATA Guideline</t>
  </si>
  <si>
    <t>HYPO-02</t>
  </si>
  <si>
    <t>Free T4 Measurement (if Indicated)</t>
  </si>
  <si>
    <t>Order free T4 if TSH is abnormal, symptoms persist despite normal TSH, or pituitary disease suspected</t>
  </si>
  <si>
    <t>As clinically indicated</t>
  </si>
  <si>
    <t>HYPO-03</t>
  </si>
  <si>
    <t>Levothyroxine Dose Optimization</t>
  </si>
  <si>
    <t>Review current dose relative to weight; assess adherence (empty stomach, 30–60 min before food)</t>
  </si>
  <si>
    <t>At every TSH check</t>
  </si>
  <si>
    <t>HYPO-04</t>
  </si>
  <si>
    <t>Symptom Assessment</t>
  </si>
  <si>
    <t>Document symptom inventory: fatigue, weight changes, cold intolerance, constipation, cognitive changes</t>
  </si>
  <si>
    <t>HYPO-05</t>
  </si>
  <si>
    <t>Order fasting lipid panel; untreated/undertreated hypothyroidism elevates LDL cholesterol</t>
  </si>
  <si>
    <t>ATA / ACC</t>
  </si>
  <si>
    <t>HYPO-06</t>
  </si>
  <si>
    <t>Drug Interaction Review</t>
  </si>
  <si>
    <t>Review for medications affecting absorption (calcium, iron, PPIs) or thyroid metabolism (amiodarone, lithium)</t>
  </si>
  <si>
    <t>#</t>
  </si>
  <si>
    <t>Chronic Condition</t>
  </si>
  <si>
    <t>ICD-10 Range</t>
  </si>
  <si>
    <t>Key eCQM References</t>
  </si>
  <si>
    <t>Cross-Condition Overlaps</t>
  </si>
  <si>
    <t>E11.x</t>
  </si>
  <si>
    <t>CMS122v12, CMS131v12, CMS134v12, CMS165v12...</t>
  </si>
  <si>
    <t>HTN (BP), CKD (nephropathy), CAD (statin), PAD (statin)</t>
  </si>
  <si>
    <t>I10–I16</t>
  </si>
  <si>
    <t>CMS165v12, ACC/AHA Guideline, CMS347v7, ACC/AHA</t>
  </si>
  <si>
    <t>DM (BP), CAD (statin/ASCVD), CKD (BP), PAD (BP)</t>
  </si>
  <si>
    <t>I25.x</t>
  </si>
  <si>
    <t>CMS164v12, CMS347v7, ACC/AHA Guideline, CMS144v12...</t>
  </si>
  <si>
    <t>HTN (BP), DM (statin), HF (ACEi), AFib (anticoag)</t>
  </si>
  <si>
    <t>I50.x</t>
  </si>
  <si>
    <t>CMS144v12, CMS145v12, ACC/AHA HF Guideline, ACC/AHA 2022 Update</t>
  </si>
  <si>
    <t>CAD (ACEi/ARB), DM (BP), CKD (RAAS inhibitor)</t>
  </si>
  <si>
    <t>J44.x</t>
  </si>
  <si>
    <t>CMS Quality, GOLD Guideline, CMS127v12, CMS138v12</t>
  </si>
  <si>
    <t>Asthma (inhaler), HTN (smoking), CAD (smoking)</t>
  </si>
  <si>
    <t>J45.x</t>
  </si>
  <si>
    <t>NAEPP EPR-4, CMS Quality, CMS138v12, CMS127v12</t>
  </si>
  <si>
    <t>COPD (inhaler/smoking), DM (comorbidities)</t>
  </si>
  <si>
    <t>N18.x</t>
  </si>
  <si>
    <t>KDIGO Guideline, CMS134v12, CMS165v12, KDIGO...</t>
  </si>
  <si>
    <t>DM (nephropathy), HTN (BP), HF (SGLT2i)</t>
  </si>
  <si>
    <t>I48.x</t>
  </si>
  <si>
    <t>CMS Quality, CMS164v12, ACC/AHA Guideline, ACC/AHA...</t>
  </si>
  <si>
    <t>CAD (anticoag), HF (rate/rhythm), CKD (renal dosing)</t>
  </si>
  <si>
    <t>F32–F33</t>
  </si>
  <si>
    <t>CMS159v12, CMS128v12, CMS Quality, APA Guideline</t>
  </si>
  <si>
    <t>Obesity (comorbidity screen), Hypothyroid (symptoms)</t>
  </si>
  <si>
    <t>M80–M81</t>
  </si>
  <si>
    <t>CMS249v5, NOF, CMS Quality</t>
  </si>
  <si>
    <t>CKD (DXA if steroids), RA (bone density), PAD (fall risk)</t>
  </si>
  <si>
    <t>E66.x</t>
  </si>
  <si>
    <t>CMS69v12, USPSTF Grade B, ACC/AHA Obesity Guideline, ACC/AHA...</t>
  </si>
  <si>
    <t>DM (comorbidity), HTN (comorbidity), CLD (metabolic)</t>
  </si>
  <si>
    <t>K76.0 / K74.x</t>
  </si>
  <si>
    <t>AASLD Guideline, CMS349v6, AASLD HCC Guideline, AASLD...</t>
  </si>
  <si>
    <t>CLD (hepatitis screen), CKD (liver panel), DM (NAFLD)</t>
  </si>
  <si>
    <t>M05–M06</t>
  </si>
  <si>
    <t>ACR Guideline, ACC/AHA, ACR Osteoporosis Guideline, ACR</t>
  </si>
  <si>
    <t>CAD (CV risk), Osteo (bone density), PAD (CV risk)</t>
  </si>
  <si>
    <t>I73.9 / I70.2x</t>
  </si>
  <si>
    <t>ACC/AHA PAD Guideline, CMS164v12, CMS347v7, CMS165v12...</t>
  </si>
  <si>
    <t>DM (foot exam), CAD (antiplatelet), HTN (BP)</t>
  </si>
  <si>
    <t>E03.x</t>
  </si>
  <si>
    <t>ATA Guideline, ATA</t>
  </si>
  <si>
    <t>MDD (symptom overlap), Obesity (metabolic), DM (monitoring)</t>
  </si>
  <si>
    <t>TOTAL UNIQUE MEASURES</t>
  </si>
  <si>
    <t>PATIENT EXAMPLE: Mrs. Eleanor Jones (DOB: 03/15/1958)</t>
  </si>
  <si>
    <t>Active Diagnoses: Type 2 Diabetes (E11.65) + COPD (J44.1) + CKD Stage 3b (N18.32) — Combined Bundle: 25 Care Gap Measures</t>
  </si>
  <si>
    <t>Source Condition</t>
  </si>
  <si>
    <t>Due Date</t>
  </si>
  <si>
    <t>Status</t>
  </si>
  <si>
    <t>Last Completed</t>
  </si>
  <si>
    <t>Action Needed</t>
  </si>
  <si>
    <t>Type 2 Diabetes</t>
  </si>
  <si>
    <t>03/15/2026</t>
  </si>
  <si>
    <t>OVERDUE</t>
  </si>
  <si>
    <t>09/22/2025</t>
  </si>
  <si>
    <t>Order HbA1c — 6 months since last</t>
  </si>
  <si>
    <t>AT RISK</t>
  </si>
  <si>
    <t>Last HbA1c 8.7% — above 9.0% threshold review</t>
  </si>
  <si>
    <t>06/01/2026</t>
  </si>
  <si>
    <t>DUE SOON</t>
  </si>
  <si>
    <t>06/10/2025</t>
  </si>
  <si>
    <t>Schedule ophthalmology referral</t>
  </si>
  <si>
    <t>MET (shared)</t>
  </si>
  <si>
    <t>—</t>
  </si>
  <si>
    <t>Covered by CKD-02 (uACR ordered quarterly)</t>
  </si>
  <si>
    <t>NOT MET</t>
  </si>
  <si>
    <t>02/10/2026</t>
  </si>
  <si>
    <t>Last BP 148/92 — adjust antihypertensive</t>
  </si>
  <si>
    <t>MET</t>
  </si>
  <si>
    <t>Atorvastatin 40mg active</t>
  </si>
  <si>
    <t>01/12/2025</t>
  </si>
  <si>
    <t>Perform monofilament exam today</t>
  </si>
  <si>
    <t>DSME Referral</t>
  </si>
  <si>
    <t>Never</t>
  </si>
  <si>
    <t>Refer to diabetes education program</t>
  </si>
  <si>
    <t>COPD</t>
  </si>
  <si>
    <t>08/05/2024</t>
  </si>
  <si>
    <t>GOLD Stage II confirmed</t>
  </si>
  <si>
    <t>DUE</t>
  </si>
  <si>
    <t>Assess DPI technique at next visit</t>
  </si>
  <si>
    <t>LAMA/LABA combo reviewed</t>
  </si>
  <si>
    <t>10/01/2026</t>
  </si>
  <si>
    <t>10/15/2025</t>
  </si>
  <si>
    <t>2025–26 flu vaccine administered</t>
  </si>
  <si>
    <t>03/20/2024</t>
  </si>
  <si>
    <t>PCV20 completed</t>
  </si>
  <si>
    <t>ONGOING</t>
  </si>
  <si>
    <t>Varenicline prescribed; 3 months tobacco-free</t>
  </si>
  <si>
    <t>Exacerbation Hx &amp; Action Plan</t>
  </si>
  <si>
    <t>Create written COPD action plan</t>
  </si>
  <si>
    <t>Pulmonary Rehab Referral</t>
  </si>
  <si>
    <t>Refer to pulmonary rehab (GOLD B)</t>
  </si>
  <si>
    <t>CKD Stage 3b</t>
  </si>
  <si>
    <t>03/01/2026</t>
  </si>
  <si>
    <t>09/15/2025</t>
  </si>
  <si>
    <t>Order BMP for eGFR (quarterly for 3b)</t>
  </si>
  <si>
    <t>Urine ACR</t>
  </si>
  <si>
    <t>Order uACR (shared with DM-04)</t>
  </si>
  <si>
    <t>BP 148/92 — intensify RAAS blockade</t>
  </si>
  <si>
    <t>RAAS Inhibitor Prescribed</t>
  </si>
  <si>
    <t>Lisinopril 20mg active (A2 albuminuria)</t>
  </si>
  <si>
    <t>Metabolic Panel (Ca/Phos/PTH)</t>
  </si>
  <si>
    <t>Order calcium, phos, PTH (stage 3b+)</t>
  </si>
  <si>
    <t>Anemia Screening (CBC + Iron)</t>
  </si>
  <si>
    <t>03/10/2025</t>
  </si>
  <si>
    <t>Order CBC, ferritin, TSAT</t>
  </si>
  <si>
    <t>Nephrotoxin Review</t>
  </si>
  <si>
    <t>NSAIDs discontinued; counseling documented</t>
  </si>
  <si>
    <t>Nephrology Referral</t>
  </si>
  <si>
    <t>N/A</t>
  </si>
  <si>
    <t>eGFR 38 — approaching stage 4; monitor closely</t>
  </si>
  <si>
    <t>Eligible: eGFR 38 + albuminuria — discuss dapagliflozin</t>
  </si>
  <si>
    <t>BUNDLE COMPLIANCE SUMMARY</t>
  </si>
  <si>
    <t>Total Measures in Combined Bundle:</t>
  </si>
  <si>
    <t>Measures Met:</t>
  </si>
  <si>
    <t>Measures Not Met / Overdue:</t>
  </si>
  <si>
    <t>Measures Due / Due Soon:</t>
  </si>
  <si>
    <t>Compliance Rate:</t>
  </si>
  <si>
    <t>CROSS-CONDITION CARE GAP OVERLAPS</t>
  </si>
  <si>
    <t>Shared Measure Domain</t>
  </si>
  <si>
    <t>Applicable Conditions</t>
  </si>
  <si>
    <t>Deduplication Rule</t>
  </si>
  <si>
    <t>DM, HTN, CAD, HF, CKD, AFib, PAD</t>
  </si>
  <si>
    <t>Single BP reading satisfies all conditions; use strictest target (CKD/CAD: &lt;130/80)</t>
  </si>
  <si>
    <t>Statin Therapy</t>
  </si>
  <si>
    <t>DM, HTN, CAD, PAD, RA (CV risk)</t>
  </si>
  <si>
    <t>One active statin prescription satisfies all; use highest indicated intensity (CAD/PAD: high-intensity)</t>
  </si>
  <si>
    <t>Smoking Cessation</t>
  </si>
  <si>
    <t>COPD, Asthma, CAD, PAD, HTN</t>
  </si>
  <si>
    <t>One tobacco screening + intervention per visit covers all conditions</t>
  </si>
  <si>
    <t>Antiplatelet Therapy</t>
  </si>
  <si>
    <t>CAD, PAD, AFib (if no anticoag)</t>
  </si>
  <si>
    <t>Single antiplatelet order satisfies both; if AFib present, anticoagulant replaces antiplatelet</t>
  </si>
  <si>
    <t>ACEi/ARB/ARNI Therapy</t>
  </si>
  <si>
    <t>HF, CKD, DM (nephropathy), HTN</t>
  </si>
  <si>
    <t>One RAAS inhibitor prescription covers all; prioritize ARNI for HFrEF</t>
  </si>
  <si>
    <t>SGLT2 Inhibitor</t>
  </si>
  <si>
    <t>DM, HF (rEF + pEF), CKD</t>
  </si>
  <si>
    <t>One SGLT2i prescription satisfies all three indications simultaneously</t>
  </si>
  <si>
    <t>DM, CKD</t>
  </si>
  <si>
    <t>One uACR order satisfies both DM-04 and CKD-02; use CKD frequency (quarterly if A3)</t>
  </si>
  <si>
    <t>eGFR / Renal Function</t>
  </si>
  <si>
    <t>CKD, DM, HTN, AFib (DOAC dosing)</t>
  </si>
  <si>
    <t>One BMP satisfies all; use most frequent interval (quarterly for CKD stage 3b+)</t>
  </si>
  <si>
    <t>HTN, CAD, DM, PAD, Hypothyroid, RA</t>
  </si>
  <si>
    <t>One annual lipid panel satisfies all conditions</t>
  </si>
  <si>
    <t>COPD, Asthma, DM, CKD, HF</t>
  </si>
  <si>
    <t>One annual flu vaccine satisfies all conditions</t>
  </si>
  <si>
    <t>COPD, Asthma, CKD, DM</t>
  </si>
  <si>
    <t>One vaccination series per ACIP schedule covers all conditions</t>
  </si>
  <si>
    <t>Bone Density (DXA)</t>
  </si>
  <si>
    <t>Osteoporosis, RA (glucocorticoid use), CKD-MBD</t>
  </si>
  <si>
    <t>One DXA scan satisfies all; shortest indicated interval applies</t>
  </si>
  <si>
    <t>Osteoporosis, PAD, Neuro (gait), MDD (psychomotor)</t>
  </si>
  <si>
    <t>One annual fall risk screening covers all conditions</t>
  </si>
  <si>
    <t>Hepatitis B/C Screening</t>
  </si>
  <si>
    <t>CLD, RA (pre-biologic), CKD</t>
  </si>
  <si>
    <t>One-time screening satisfies all; repeat only per risk-factor triggers</t>
  </si>
  <si>
    <t>ASCVD Risk Score</t>
  </si>
  <si>
    <t>HTN, DM, CAD, RA (CV multiplier)</t>
  </si>
  <si>
    <t>One ASCVD calculation covers all; apply RA 1.5x multiplier if applicable</t>
  </si>
  <si>
    <t>PHQ-9 Screening</t>
  </si>
  <si>
    <t>MDD, DM (depression comorbidity), HF (depression comorbidity)</t>
  </si>
  <si>
    <t>One PHQ-9 per visit satisfies all; document in all relevant problem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</si>
</sst>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1B2A4A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0"/>
      <color rgb="FF1B2A4A"/>
      <name val="Arial"/>
      <charset val="1"/>
    </font>
    <font>
      <b/>
      <sz val="13"/>
      <color rgb="FFFFFFFF"/>
      <name val="Arial"/>
      <charset val="1"/>
    </font>
    <font>
      <b/>
      <sz val="10"/>
      <color rgb="FFE74C3C"/>
      <name val="Arial"/>
      <charset val="1"/>
    </font>
    <font>
      <b/>
      <sz val="10"/>
      <color rgb="FFF39C12"/>
      <name val="Arial"/>
      <charset val="1"/>
    </font>
    <font>
      <b/>
      <sz val="10"/>
      <color rgb="FF27AE60"/>
      <name val="Arial"/>
      <charset val="1"/>
    </font>
    <font>
      <b/>
      <sz val="10"/>
      <color rgb="FF3498DB"/>
      <name val="Arial"/>
      <charset val="1"/>
    </font>
    <font>
      <b/>
      <sz val="10"/>
      <color rgb="FF95A5A6"/>
      <name val="Arial"/>
      <charset val="1"/>
    </font>
    <font>
      <b/>
      <sz val="12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E8ECF1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27AE60"/>
        <bgColor rgb="FF2E86AB"/>
      </patternFill>
    </fill>
  </fills>
  <borders count="2">
    <border>
      <left/>
      <right/>
      <top/>
      <bottom/>
      <diagonal/>
    </border>
    <border>
      <left style="thin">
        <color rgb="FFC0C7D0"/>
      </left>
      <right style="thin">
        <color rgb="FFC0C7D0"/>
      </right>
      <top style="thin">
        <color rgb="FFC0C7D0"/>
      </top>
      <bottom style="thin">
        <color rgb="FFC0C7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2" fillId="6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7D0"/>
      <rgbColor rgb="FF808080"/>
      <rgbColor rgb="FF9999FF"/>
      <rgbColor rgb="FF993366"/>
      <rgbColor rgb="FFF5F7FA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5A5A6"/>
      <rgbColor rgb="FF003366"/>
      <rgbColor rgb="FF27AE60"/>
      <rgbColor rgb="FF003300"/>
      <rgbColor rgb="FF1A1A2E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13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4" customWidth="1"/>
    <col min="2" max="2" width="22" customWidth="1"/>
    <col min="3" max="3" width="30" customWidth="1"/>
    <col min="4" max="4" width="52" customWidth="1"/>
    <col min="5" max="5" width="28" customWidth="1"/>
    <col min="6" max="6" width="26" customWidth="1"/>
    <col min="7" max="7" width="8" customWidth="1"/>
  </cols>
  <sheetData>
    <row r="1" spans="1:7" ht="3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5" t="s">
        <v>7</v>
      </c>
      <c r="B2" s="5"/>
      <c r="C2" s="5"/>
      <c r="D2" s="5"/>
      <c r="E2" s="5"/>
      <c r="F2" s="5"/>
      <c r="G2" s="5"/>
    </row>
    <row r="3" spans="1:7" ht="28" x14ac:dyDescent="0.2">
      <c r="A3" s="7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>
        <v>8</v>
      </c>
    </row>
    <row r="4" spans="1:7" ht="28" x14ac:dyDescent="0.2">
      <c r="A4" s="10" t="s">
        <v>14</v>
      </c>
      <c r="B4" s="11" t="s">
        <v>9</v>
      </c>
      <c r="C4" s="11" t="s">
        <v>15</v>
      </c>
      <c r="D4" s="11" t="s">
        <v>16</v>
      </c>
      <c r="E4" s="11" t="s">
        <v>17</v>
      </c>
      <c r="F4" s="11" t="s">
        <v>13</v>
      </c>
      <c r="G4" s="12">
        <v>8</v>
      </c>
    </row>
    <row r="5" spans="1:7" ht="28" x14ac:dyDescent="0.2">
      <c r="A5" s="7" t="s">
        <v>18</v>
      </c>
      <c r="B5" s="8" t="s">
        <v>9</v>
      </c>
      <c r="C5" s="8" t="s">
        <v>19</v>
      </c>
      <c r="D5" s="8" t="s">
        <v>20</v>
      </c>
      <c r="E5" s="8" t="s">
        <v>17</v>
      </c>
      <c r="F5" s="8" t="s">
        <v>21</v>
      </c>
      <c r="G5" s="9">
        <v>8</v>
      </c>
    </row>
    <row r="6" spans="1:7" ht="28" x14ac:dyDescent="0.2">
      <c r="A6" s="10" t="s">
        <v>22</v>
      </c>
      <c r="B6" s="11" t="s">
        <v>9</v>
      </c>
      <c r="C6" s="11" t="s">
        <v>23</v>
      </c>
      <c r="D6" s="11" t="s">
        <v>24</v>
      </c>
      <c r="E6" s="11" t="s">
        <v>17</v>
      </c>
      <c r="F6" s="11" t="s">
        <v>25</v>
      </c>
      <c r="G6" s="12">
        <v>8</v>
      </c>
    </row>
    <row r="7" spans="1:7" ht="28" x14ac:dyDescent="0.2">
      <c r="A7" s="7" t="s">
        <v>26</v>
      </c>
      <c r="B7" s="8" t="s">
        <v>9</v>
      </c>
      <c r="C7" s="8" t="s">
        <v>27</v>
      </c>
      <c r="D7" s="8" t="s">
        <v>28</v>
      </c>
      <c r="E7" s="8" t="s">
        <v>29</v>
      </c>
      <c r="F7" s="8" t="s">
        <v>30</v>
      </c>
      <c r="G7" s="9">
        <v>8</v>
      </c>
    </row>
    <row r="8" spans="1:7" ht="28" x14ac:dyDescent="0.2">
      <c r="A8" s="10" t="s">
        <v>31</v>
      </c>
      <c r="B8" s="11" t="s">
        <v>9</v>
      </c>
      <c r="C8" s="11" t="s">
        <v>32</v>
      </c>
      <c r="D8" s="11" t="s">
        <v>33</v>
      </c>
      <c r="E8" s="11" t="s">
        <v>17</v>
      </c>
      <c r="F8" s="11" t="s">
        <v>34</v>
      </c>
      <c r="G8" s="12">
        <v>8</v>
      </c>
    </row>
    <row r="9" spans="1:7" ht="28" x14ac:dyDescent="0.2">
      <c r="A9" s="7" t="s">
        <v>35</v>
      </c>
      <c r="B9" s="8" t="s">
        <v>9</v>
      </c>
      <c r="C9" s="8" t="s">
        <v>36</v>
      </c>
      <c r="D9" s="8" t="s">
        <v>37</v>
      </c>
      <c r="E9" s="8" t="s">
        <v>17</v>
      </c>
      <c r="F9" s="8" t="s">
        <v>38</v>
      </c>
      <c r="G9" s="9">
        <v>8</v>
      </c>
    </row>
    <row r="10" spans="1:7" ht="28" x14ac:dyDescent="0.2">
      <c r="A10" s="10" t="s">
        <v>39</v>
      </c>
      <c r="B10" s="11" t="s">
        <v>9</v>
      </c>
      <c r="C10" s="11" t="s">
        <v>40</v>
      </c>
      <c r="D10" s="11" t="s">
        <v>41</v>
      </c>
      <c r="E10" s="11" t="s">
        <v>42</v>
      </c>
      <c r="F10" s="11" t="s">
        <v>43</v>
      </c>
      <c r="G10" s="12">
        <v>8</v>
      </c>
    </row>
    <row r="12" spans="1:7" x14ac:dyDescent="0.2">
      <c r="A12" s="5" t="s">
        <v>44</v>
      </c>
      <c r="B12" s="5"/>
      <c r="C12" s="5"/>
      <c r="D12" s="5"/>
      <c r="E12" s="5"/>
      <c r="F12" s="5"/>
      <c r="G12" s="5"/>
    </row>
    <row r="13" spans="1:7" ht="28" x14ac:dyDescent="0.2">
      <c r="A13" s="7" t="s">
        <v>45</v>
      </c>
      <c r="B13" s="8" t="s">
        <v>46</v>
      </c>
      <c r="C13" s="8" t="s">
        <v>47</v>
      </c>
      <c r="D13" s="8" t="s">
        <v>48</v>
      </c>
      <c r="E13" s="8" t="s">
        <v>49</v>
      </c>
      <c r="F13" s="8" t="s">
        <v>30</v>
      </c>
      <c r="G13" s="9">
        <v>6</v>
      </c>
    </row>
    <row r="14" spans="1:7" ht="28" x14ac:dyDescent="0.2">
      <c r="A14" s="10" t="s">
        <v>50</v>
      </c>
      <c r="B14" s="11" t="s">
        <v>46</v>
      </c>
      <c r="C14" s="11" t="s">
        <v>51</v>
      </c>
      <c r="D14" s="11" t="s">
        <v>52</v>
      </c>
      <c r="E14" s="11" t="s">
        <v>49</v>
      </c>
      <c r="F14" s="11" t="s">
        <v>53</v>
      </c>
      <c r="G14" s="12">
        <v>6</v>
      </c>
    </row>
    <row r="15" spans="1:7" ht="28" x14ac:dyDescent="0.2">
      <c r="A15" s="7" t="s">
        <v>54</v>
      </c>
      <c r="B15" s="8" t="s">
        <v>46</v>
      </c>
      <c r="C15" s="8" t="s">
        <v>55</v>
      </c>
      <c r="D15" s="8" t="s">
        <v>56</v>
      </c>
      <c r="E15" s="8" t="s">
        <v>57</v>
      </c>
      <c r="F15" s="8" t="s">
        <v>58</v>
      </c>
      <c r="G15" s="9">
        <v>6</v>
      </c>
    </row>
    <row r="16" spans="1:7" ht="28" x14ac:dyDescent="0.2">
      <c r="A16" s="10" t="s">
        <v>59</v>
      </c>
      <c r="B16" s="11" t="s">
        <v>46</v>
      </c>
      <c r="C16" s="11" t="s">
        <v>60</v>
      </c>
      <c r="D16" s="11" t="s">
        <v>61</v>
      </c>
      <c r="E16" s="11" t="s">
        <v>17</v>
      </c>
      <c r="F16" s="11" t="s">
        <v>62</v>
      </c>
      <c r="G16" s="12">
        <v>6</v>
      </c>
    </row>
    <row r="17" spans="1:7" ht="28" x14ac:dyDescent="0.2">
      <c r="A17" s="7" t="s">
        <v>63</v>
      </c>
      <c r="B17" s="8" t="s">
        <v>46</v>
      </c>
      <c r="C17" s="8" t="s">
        <v>64</v>
      </c>
      <c r="D17" s="8" t="s">
        <v>65</v>
      </c>
      <c r="E17" s="8" t="s">
        <v>66</v>
      </c>
      <c r="F17" s="8" t="s">
        <v>58</v>
      </c>
      <c r="G17" s="9">
        <v>6</v>
      </c>
    </row>
    <row r="18" spans="1:7" ht="28" x14ac:dyDescent="0.2">
      <c r="A18" s="10" t="s">
        <v>67</v>
      </c>
      <c r="B18" s="11" t="s">
        <v>46</v>
      </c>
      <c r="C18" s="11" t="s">
        <v>68</v>
      </c>
      <c r="D18" s="11" t="s">
        <v>69</v>
      </c>
      <c r="E18" s="11" t="s">
        <v>17</v>
      </c>
      <c r="F18" s="11" t="s">
        <v>70</v>
      </c>
      <c r="G18" s="12">
        <v>6</v>
      </c>
    </row>
    <row r="20" spans="1:7" x14ac:dyDescent="0.2">
      <c r="A20" s="5" t="s">
        <v>71</v>
      </c>
      <c r="B20" s="5"/>
      <c r="C20" s="5"/>
      <c r="D20" s="5"/>
      <c r="E20" s="5"/>
      <c r="F20" s="5"/>
      <c r="G20" s="5"/>
    </row>
    <row r="21" spans="1:7" ht="28" x14ac:dyDescent="0.2">
      <c r="A21" s="7" t="s">
        <v>72</v>
      </c>
      <c r="B21" s="8" t="s">
        <v>73</v>
      </c>
      <c r="C21" s="8" t="s">
        <v>74</v>
      </c>
      <c r="D21" s="8" t="s">
        <v>75</v>
      </c>
      <c r="E21" s="8" t="s">
        <v>17</v>
      </c>
      <c r="F21" s="8" t="s">
        <v>76</v>
      </c>
      <c r="G21" s="9">
        <v>8</v>
      </c>
    </row>
    <row r="22" spans="1:7" ht="28" x14ac:dyDescent="0.2">
      <c r="A22" s="10" t="s">
        <v>77</v>
      </c>
      <c r="B22" s="11" t="s">
        <v>73</v>
      </c>
      <c r="C22" s="11" t="s">
        <v>78</v>
      </c>
      <c r="D22" s="11" t="s">
        <v>79</v>
      </c>
      <c r="E22" s="11" t="s">
        <v>17</v>
      </c>
      <c r="F22" s="11" t="s">
        <v>80</v>
      </c>
      <c r="G22" s="12">
        <v>8</v>
      </c>
    </row>
    <row r="23" spans="1:7" ht="28" x14ac:dyDescent="0.2">
      <c r="A23" s="7" t="s">
        <v>81</v>
      </c>
      <c r="B23" s="8" t="s">
        <v>73</v>
      </c>
      <c r="C23" s="8" t="s">
        <v>82</v>
      </c>
      <c r="D23" s="8" t="s">
        <v>83</v>
      </c>
      <c r="E23" s="8" t="s">
        <v>84</v>
      </c>
      <c r="F23" s="8" t="s">
        <v>58</v>
      </c>
      <c r="G23" s="9">
        <v>8</v>
      </c>
    </row>
    <row r="24" spans="1:7" ht="28" x14ac:dyDescent="0.2">
      <c r="A24" s="10" t="s">
        <v>85</v>
      </c>
      <c r="B24" s="11" t="s">
        <v>73</v>
      </c>
      <c r="C24" s="11" t="s">
        <v>86</v>
      </c>
      <c r="D24" s="11" t="s">
        <v>87</v>
      </c>
      <c r="E24" s="11" t="s">
        <v>17</v>
      </c>
      <c r="F24" s="11" t="s">
        <v>88</v>
      </c>
      <c r="G24" s="12">
        <v>8</v>
      </c>
    </row>
    <row r="25" spans="1:7" ht="28" x14ac:dyDescent="0.2">
      <c r="A25" s="7" t="s">
        <v>89</v>
      </c>
      <c r="B25" s="8" t="s">
        <v>73</v>
      </c>
      <c r="C25" s="8" t="s">
        <v>90</v>
      </c>
      <c r="D25" s="8" t="s">
        <v>91</v>
      </c>
      <c r="E25" s="8" t="s">
        <v>49</v>
      </c>
      <c r="F25" s="8" t="s">
        <v>53</v>
      </c>
      <c r="G25" s="9">
        <v>8</v>
      </c>
    </row>
    <row r="26" spans="1:7" ht="28" x14ac:dyDescent="0.2">
      <c r="A26" s="10" t="s">
        <v>92</v>
      </c>
      <c r="B26" s="11" t="s">
        <v>73</v>
      </c>
      <c r="C26" s="11" t="s">
        <v>93</v>
      </c>
      <c r="D26" s="11" t="s">
        <v>94</v>
      </c>
      <c r="E26" s="11" t="s">
        <v>17</v>
      </c>
      <c r="F26" s="11" t="s">
        <v>58</v>
      </c>
      <c r="G26" s="12">
        <v>8</v>
      </c>
    </row>
    <row r="27" spans="1:7" ht="28" x14ac:dyDescent="0.2">
      <c r="A27" s="7" t="s">
        <v>95</v>
      </c>
      <c r="B27" s="8" t="s">
        <v>73</v>
      </c>
      <c r="C27" s="8" t="s">
        <v>96</v>
      </c>
      <c r="D27" s="8" t="s">
        <v>97</v>
      </c>
      <c r="E27" s="8" t="s">
        <v>49</v>
      </c>
      <c r="F27" s="8" t="s">
        <v>98</v>
      </c>
      <c r="G27" s="9">
        <v>8</v>
      </c>
    </row>
    <row r="28" spans="1:7" ht="28" x14ac:dyDescent="0.2">
      <c r="A28" s="10" t="s">
        <v>99</v>
      </c>
      <c r="B28" s="11" t="s">
        <v>73</v>
      </c>
      <c r="C28" s="11" t="s">
        <v>100</v>
      </c>
      <c r="D28" s="11" t="s">
        <v>101</v>
      </c>
      <c r="E28" s="11" t="s">
        <v>102</v>
      </c>
      <c r="F28" s="11" t="s">
        <v>103</v>
      </c>
      <c r="G28" s="12">
        <v>8</v>
      </c>
    </row>
    <row r="30" spans="1:7" x14ac:dyDescent="0.2">
      <c r="A30" s="5" t="s">
        <v>104</v>
      </c>
      <c r="B30" s="5"/>
      <c r="C30" s="5"/>
      <c r="D30" s="5"/>
      <c r="E30" s="5"/>
      <c r="F30" s="5"/>
      <c r="G30" s="5"/>
    </row>
    <row r="31" spans="1:7" ht="28" x14ac:dyDescent="0.2">
      <c r="A31" s="7" t="s">
        <v>105</v>
      </c>
      <c r="B31" s="8" t="s">
        <v>106</v>
      </c>
      <c r="C31" s="8" t="s">
        <v>107</v>
      </c>
      <c r="D31" s="8" t="s">
        <v>108</v>
      </c>
      <c r="E31" s="8" t="s">
        <v>109</v>
      </c>
      <c r="F31" s="8" t="s">
        <v>88</v>
      </c>
      <c r="G31" s="9">
        <v>7</v>
      </c>
    </row>
    <row r="32" spans="1:7" ht="28" x14ac:dyDescent="0.2">
      <c r="A32" s="10" t="s">
        <v>110</v>
      </c>
      <c r="B32" s="11" t="s">
        <v>106</v>
      </c>
      <c r="C32" s="11" t="s">
        <v>111</v>
      </c>
      <c r="D32" s="11" t="s">
        <v>112</v>
      </c>
      <c r="E32" s="11" t="s">
        <v>17</v>
      </c>
      <c r="F32" s="11" t="s">
        <v>88</v>
      </c>
      <c r="G32" s="12">
        <v>7</v>
      </c>
    </row>
    <row r="33" spans="1:7" ht="28" x14ac:dyDescent="0.2">
      <c r="A33" s="7" t="s">
        <v>113</v>
      </c>
      <c r="B33" s="8" t="s">
        <v>106</v>
      </c>
      <c r="C33" s="8" t="s">
        <v>114</v>
      </c>
      <c r="D33" s="8" t="s">
        <v>115</v>
      </c>
      <c r="E33" s="8" t="s">
        <v>17</v>
      </c>
      <c r="F33" s="8" t="s">
        <v>116</v>
      </c>
      <c r="G33" s="9">
        <v>7</v>
      </c>
    </row>
    <row r="34" spans="1:7" ht="28" x14ac:dyDescent="0.2">
      <c r="A34" s="10" t="s">
        <v>117</v>
      </c>
      <c r="B34" s="11" t="s">
        <v>106</v>
      </c>
      <c r="C34" s="11" t="s">
        <v>118</v>
      </c>
      <c r="D34" s="11" t="s">
        <v>119</v>
      </c>
      <c r="E34" s="11" t="s">
        <v>42</v>
      </c>
      <c r="F34" s="11" t="s">
        <v>120</v>
      </c>
      <c r="G34" s="12">
        <v>7</v>
      </c>
    </row>
    <row r="35" spans="1:7" ht="28" x14ac:dyDescent="0.2">
      <c r="A35" s="7" t="s">
        <v>121</v>
      </c>
      <c r="B35" s="8" t="s">
        <v>106</v>
      </c>
      <c r="C35" s="8" t="s">
        <v>122</v>
      </c>
      <c r="D35" s="8" t="s">
        <v>123</v>
      </c>
      <c r="E35" s="8" t="s">
        <v>49</v>
      </c>
      <c r="F35" s="8" t="s">
        <v>120</v>
      </c>
      <c r="G35" s="9">
        <v>7</v>
      </c>
    </row>
    <row r="36" spans="1:7" ht="28" x14ac:dyDescent="0.2">
      <c r="A36" s="10" t="s">
        <v>124</v>
      </c>
      <c r="B36" s="11" t="s">
        <v>106</v>
      </c>
      <c r="C36" s="11" t="s">
        <v>125</v>
      </c>
      <c r="D36" s="11" t="s">
        <v>126</v>
      </c>
      <c r="E36" s="11" t="s">
        <v>49</v>
      </c>
      <c r="F36" s="11" t="s">
        <v>120</v>
      </c>
      <c r="G36" s="12">
        <v>7</v>
      </c>
    </row>
    <row r="37" spans="1:7" ht="28" x14ac:dyDescent="0.2">
      <c r="A37" s="7" t="s">
        <v>127</v>
      </c>
      <c r="B37" s="8" t="s">
        <v>106</v>
      </c>
      <c r="C37" s="8" t="s">
        <v>128</v>
      </c>
      <c r="D37" s="8" t="s">
        <v>129</v>
      </c>
      <c r="E37" s="8" t="s">
        <v>17</v>
      </c>
      <c r="F37" s="8" t="s">
        <v>130</v>
      </c>
      <c r="G37" s="9">
        <v>7</v>
      </c>
    </row>
    <row r="39" spans="1:7" x14ac:dyDescent="0.2">
      <c r="A39" s="5" t="s">
        <v>131</v>
      </c>
      <c r="B39" s="5"/>
      <c r="C39" s="5"/>
      <c r="D39" s="5"/>
      <c r="E39" s="5"/>
      <c r="F39" s="5"/>
      <c r="G39" s="5"/>
    </row>
    <row r="40" spans="1:7" ht="42" x14ac:dyDescent="0.2">
      <c r="A40" s="7" t="s">
        <v>132</v>
      </c>
      <c r="B40" s="8" t="s">
        <v>133</v>
      </c>
      <c r="C40" s="8" t="s">
        <v>134</v>
      </c>
      <c r="D40" s="8" t="s">
        <v>135</v>
      </c>
      <c r="E40" s="8" t="s">
        <v>136</v>
      </c>
      <c r="F40" s="8" t="s">
        <v>137</v>
      </c>
      <c r="G40" s="9">
        <v>8</v>
      </c>
    </row>
    <row r="41" spans="1:7" ht="42" x14ac:dyDescent="0.2">
      <c r="A41" s="10" t="s">
        <v>138</v>
      </c>
      <c r="B41" s="11" t="s">
        <v>133</v>
      </c>
      <c r="C41" s="11" t="s">
        <v>139</v>
      </c>
      <c r="D41" s="11" t="s">
        <v>140</v>
      </c>
      <c r="E41" s="11" t="s">
        <v>49</v>
      </c>
      <c r="F41" s="11" t="s">
        <v>141</v>
      </c>
      <c r="G41" s="12">
        <v>8</v>
      </c>
    </row>
    <row r="42" spans="1:7" ht="42" x14ac:dyDescent="0.2">
      <c r="A42" s="7" t="s">
        <v>142</v>
      </c>
      <c r="B42" s="8" t="s">
        <v>133</v>
      </c>
      <c r="C42" s="8" t="s">
        <v>143</v>
      </c>
      <c r="D42" s="8" t="s">
        <v>144</v>
      </c>
      <c r="E42" s="8" t="s">
        <v>49</v>
      </c>
      <c r="F42" s="8" t="s">
        <v>141</v>
      </c>
      <c r="G42" s="9">
        <v>8</v>
      </c>
    </row>
    <row r="43" spans="1:7" ht="42" x14ac:dyDescent="0.2">
      <c r="A43" s="10" t="s">
        <v>145</v>
      </c>
      <c r="B43" s="11" t="s">
        <v>133</v>
      </c>
      <c r="C43" s="11" t="s">
        <v>146</v>
      </c>
      <c r="D43" s="11" t="s">
        <v>147</v>
      </c>
      <c r="E43" s="11" t="s">
        <v>148</v>
      </c>
      <c r="F43" s="11" t="s">
        <v>149</v>
      </c>
      <c r="G43" s="12">
        <v>8</v>
      </c>
    </row>
    <row r="44" spans="1:7" ht="42" x14ac:dyDescent="0.2">
      <c r="A44" s="7" t="s">
        <v>150</v>
      </c>
      <c r="B44" s="8" t="s">
        <v>133</v>
      </c>
      <c r="C44" s="8" t="s">
        <v>151</v>
      </c>
      <c r="D44" s="8" t="s">
        <v>152</v>
      </c>
      <c r="E44" s="8" t="s">
        <v>153</v>
      </c>
      <c r="F44" s="8" t="s">
        <v>154</v>
      </c>
      <c r="G44" s="9">
        <v>8</v>
      </c>
    </row>
    <row r="45" spans="1:7" ht="42" x14ac:dyDescent="0.2">
      <c r="A45" s="10" t="s">
        <v>155</v>
      </c>
      <c r="B45" s="11" t="s">
        <v>133</v>
      </c>
      <c r="C45" s="11" t="s">
        <v>96</v>
      </c>
      <c r="D45" s="11" t="s">
        <v>156</v>
      </c>
      <c r="E45" s="11" t="s">
        <v>49</v>
      </c>
      <c r="F45" s="11" t="s">
        <v>98</v>
      </c>
      <c r="G45" s="12">
        <v>8</v>
      </c>
    </row>
    <row r="46" spans="1:7" ht="42" x14ac:dyDescent="0.2">
      <c r="A46" s="7" t="s">
        <v>157</v>
      </c>
      <c r="B46" s="8" t="s">
        <v>133</v>
      </c>
      <c r="C46" s="8" t="s">
        <v>158</v>
      </c>
      <c r="D46" s="8" t="s">
        <v>159</v>
      </c>
      <c r="E46" s="8" t="s">
        <v>17</v>
      </c>
      <c r="F46" s="8" t="s">
        <v>141</v>
      </c>
      <c r="G46" s="9">
        <v>8</v>
      </c>
    </row>
    <row r="47" spans="1:7" ht="42" x14ac:dyDescent="0.2">
      <c r="A47" s="10" t="s">
        <v>160</v>
      </c>
      <c r="B47" s="11" t="s">
        <v>133</v>
      </c>
      <c r="C47" s="11" t="s">
        <v>161</v>
      </c>
      <c r="D47" s="11" t="s">
        <v>162</v>
      </c>
      <c r="E47" s="11" t="s">
        <v>163</v>
      </c>
      <c r="F47" s="11" t="s">
        <v>164</v>
      </c>
      <c r="G47" s="12">
        <v>8</v>
      </c>
    </row>
    <row r="49" spans="1:7" x14ac:dyDescent="0.2">
      <c r="A49" s="5" t="s">
        <v>165</v>
      </c>
      <c r="B49" s="5"/>
      <c r="C49" s="5"/>
      <c r="D49" s="5"/>
      <c r="E49" s="5"/>
      <c r="F49" s="5"/>
      <c r="G49" s="5"/>
    </row>
    <row r="50" spans="1:7" ht="28" x14ac:dyDescent="0.2">
      <c r="A50" s="7" t="s">
        <v>166</v>
      </c>
      <c r="B50" s="8" t="s">
        <v>167</v>
      </c>
      <c r="C50" s="8" t="s">
        <v>168</v>
      </c>
      <c r="D50" s="8" t="s">
        <v>169</v>
      </c>
      <c r="E50" s="8" t="s">
        <v>49</v>
      </c>
      <c r="F50" s="8" t="s">
        <v>170</v>
      </c>
      <c r="G50" s="9">
        <v>7</v>
      </c>
    </row>
    <row r="51" spans="1:7" ht="28" x14ac:dyDescent="0.2">
      <c r="A51" s="10" t="s">
        <v>171</v>
      </c>
      <c r="B51" s="11" t="s">
        <v>167</v>
      </c>
      <c r="C51" s="11" t="s">
        <v>172</v>
      </c>
      <c r="D51" s="11" t="s">
        <v>173</v>
      </c>
      <c r="E51" s="11" t="s">
        <v>49</v>
      </c>
      <c r="F51" s="11" t="s">
        <v>174</v>
      </c>
      <c r="G51" s="12">
        <v>7</v>
      </c>
    </row>
    <row r="52" spans="1:7" ht="28" x14ac:dyDescent="0.2">
      <c r="A52" s="7" t="s">
        <v>175</v>
      </c>
      <c r="B52" s="8" t="s">
        <v>167</v>
      </c>
      <c r="C52" s="8" t="s">
        <v>176</v>
      </c>
      <c r="D52" s="8" t="s">
        <v>177</v>
      </c>
      <c r="E52" s="8" t="s">
        <v>17</v>
      </c>
      <c r="F52" s="8" t="s">
        <v>178</v>
      </c>
      <c r="G52" s="9">
        <v>7</v>
      </c>
    </row>
    <row r="53" spans="1:7" x14ac:dyDescent="0.2">
      <c r="A53" s="10" t="s">
        <v>179</v>
      </c>
      <c r="B53" s="11" t="s">
        <v>167</v>
      </c>
      <c r="C53" s="11" t="s">
        <v>139</v>
      </c>
      <c r="D53" s="11" t="s">
        <v>180</v>
      </c>
      <c r="E53" s="11" t="s">
        <v>49</v>
      </c>
      <c r="F53" s="11" t="s">
        <v>178</v>
      </c>
      <c r="G53" s="12">
        <v>7</v>
      </c>
    </row>
    <row r="54" spans="1:7" ht="28" x14ac:dyDescent="0.2">
      <c r="A54" s="7" t="s">
        <v>181</v>
      </c>
      <c r="B54" s="8" t="s">
        <v>167</v>
      </c>
      <c r="C54" s="8" t="s">
        <v>182</v>
      </c>
      <c r="D54" s="8" t="s">
        <v>183</v>
      </c>
      <c r="E54" s="8" t="s">
        <v>49</v>
      </c>
      <c r="F54" s="8" t="s">
        <v>184</v>
      </c>
      <c r="G54" s="9">
        <v>7</v>
      </c>
    </row>
    <row r="55" spans="1:7" ht="28" x14ac:dyDescent="0.2">
      <c r="A55" s="10" t="s">
        <v>185</v>
      </c>
      <c r="B55" s="11" t="s">
        <v>167</v>
      </c>
      <c r="C55" s="11" t="s">
        <v>186</v>
      </c>
      <c r="D55" s="11" t="s">
        <v>187</v>
      </c>
      <c r="E55" s="11" t="s">
        <v>42</v>
      </c>
      <c r="F55" s="11" t="s">
        <v>178</v>
      </c>
      <c r="G55" s="12">
        <v>7</v>
      </c>
    </row>
    <row r="56" spans="1:7" x14ac:dyDescent="0.2">
      <c r="A56" s="7" t="s">
        <v>188</v>
      </c>
      <c r="B56" s="8" t="s">
        <v>167</v>
      </c>
      <c r="C56" s="8" t="s">
        <v>189</v>
      </c>
      <c r="D56" s="8" t="s">
        <v>190</v>
      </c>
      <c r="E56" s="8" t="s">
        <v>148</v>
      </c>
      <c r="F56" s="8" t="s">
        <v>154</v>
      </c>
      <c r="G56" s="9">
        <v>7</v>
      </c>
    </row>
    <row r="58" spans="1:7" x14ac:dyDescent="0.2">
      <c r="A58" s="5" t="s">
        <v>191</v>
      </c>
      <c r="B58" s="5"/>
      <c r="C58" s="5"/>
      <c r="D58" s="5"/>
      <c r="E58" s="5"/>
      <c r="F58" s="5"/>
      <c r="G58" s="5"/>
    </row>
    <row r="59" spans="1:7" ht="28" x14ac:dyDescent="0.2">
      <c r="A59" s="7" t="s">
        <v>192</v>
      </c>
      <c r="B59" s="8" t="s">
        <v>193</v>
      </c>
      <c r="C59" s="8" t="s">
        <v>194</v>
      </c>
      <c r="D59" s="8" t="s">
        <v>195</v>
      </c>
      <c r="E59" s="8" t="s">
        <v>196</v>
      </c>
      <c r="F59" s="8" t="s">
        <v>197</v>
      </c>
      <c r="G59" s="9">
        <v>9</v>
      </c>
    </row>
    <row r="60" spans="1:7" ht="28" x14ac:dyDescent="0.2">
      <c r="A60" s="10" t="s">
        <v>198</v>
      </c>
      <c r="B60" s="11" t="s">
        <v>193</v>
      </c>
      <c r="C60" s="11" t="s">
        <v>199</v>
      </c>
      <c r="D60" s="11" t="s">
        <v>200</v>
      </c>
      <c r="E60" s="11" t="s">
        <v>201</v>
      </c>
      <c r="F60" s="11" t="s">
        <v>202</v>
      </c>
      <c r="G60" s="12">
        <v>9</v>
      </c>
    </row>
    <row r="61" spans="1:7" ht="28" x14ac:dyDescent="0.2">
      <c r="A61" s="7" t="s">
        <v>203</v>
      </c>
      <c r="B61" s="8" t="s">
        <v>193</v>
      </c>
      <c r="C61" s="8" t="s">
        <v>204</v>
      </c>
      <c r="D61" s="8" t="s">
        <v>205</v>
      </c>
      <c r="E61" s="8" t="s">
        <v>49</v>
      </c>
      <c r="F61" s="8" t="s">
        <v>206</v>
      </c>
      <c r="G61" s="9">
        <v>9</v>
      </c>
    </row>
    <row r="62" spans="1:7" ht="28" x14ac:dyDescent="0.2">
      <c r="A62" s="10" t="s">
        <v>207</v>
      </c>
      <c r="B62" s="11" t="s">
        <v>193</v>
      </c>
      <c r="C62" s="11" t="s">
        <v>208</v>
      </c>
      <c r="D62" s="11" t="s">
        <v>209</v>
      </c>
      <c r="E62" s="11" t="s">
        <v>17</v>
      </c>
      <c r="F62" s="11" t="s">
        <v>197</v>
      </c>
      <c r="G62" s="12">
        <v>9</v>
      </c>
    </row>
    <row r="63" spans="1:7" ht="28" x14ac:dyDescent="0.2">
      <c r="A63" s="7" t="s">
        <v>210</v>
      </c>
      <c r="B63" s="8" t="s">
        <v>193</v>
      </c>
      <c r="C63" s="8" t="s">
        <v>211</v>
      </c>
      <c r="D63" s="8" t="s">
        <v>212</v>
      </c>
      <c r="E63" s="8" t="s">
        <v>213</v>
      </c>
      <c r="F63" s="8" t="s">
        <v>197</v>
      </c>
      <c r="G63" s="9">
        <v>9</v>
      </c>
    </row>
    <row r="64" spans="1:7" ht="28" x14ac:dyDescent="0.2">
      <c r="A64" s="10" t="s">
        <v>214</v>
      </c>
      <c r="B64" s="11" t="s">
        <v>193</v>
      </c>
      <c r="C64" s="11" t="s">
        <v>215</v>
      </c>
      <c r="D64" s="11" t="s">
        <v>216</v>
      </c>
      <c r="E64" s="11" t="s">
        <v>217</v>
      </c>
      <c r="F64" s="11" t="s">
        <v>197</v>
      </c>
      <c r="G64" s="12">
        <v>9</v>
      </c>
    </row>
    <row r="65" spans="1:7" ht="28" x14ac:dyDescent="0.2">
      <c r="A65" s="7" t="s">
        <v>218</v>
      </c>
      <c r="B65" s="8" t="s">
        <v>193</v>
      </c>
      <c r="C65" s="8" t="s">
        <v>219</v>
      </c>
      <c r="D65" s="8" t="s">
        <v>220</v>
      </c>
      <c r="E65" s="8" t="s">
        <v>49</v>
      </c>
      <c r="F65" s="8" t="s">
        <v>221</v>
      </c>
      <c r="G65" s="9">
        <v>9</v>
      </c>
    </row>
    <row r="66" spans="1:7" ht="28" x14ac:dyDescent="0.2">
      <c r="A66" s="10" t="s">
        <v>222</v>
      </c>
      <c r="B66" s="11" t="s">
        <v>193</v>
      </c>
      <c r="C66" s="11" t="s">
        <v>223</v>
      </c>
      <c r="D66" s="11" t="s">
        <v>224</v>
      </c>
      <c r="E66" s="11" t="s">
        <v>225</v>
      </c>
      <c r="F66" s="11" t="s">
        <v>197</v>
      </c>
      <c r="G66" s="12">
        <v>9</v>
      </c>
    </row>
    <row r="67" spans="1:7" ht="28" x14ac:dyDescent="0.2">
      <c r="A67" s="7" t="s">
        <v>226</v>
      </c>
      <c r="B67" s="8" t="s">
        <v>193</v>
      </c>
      <c r="C67" s="8" t="s">
        <v>128</v>
      </c>
      <c r="D67" s="8" t="s">
        <v>227</v>
      </c>
      <c r="E67" s="8" t="s">
        <v>17</v>
      </c>
      <c r="F67" s="8" t="s">
        <v>228</v>
      </c>
      <c r="G67" s="9">
        <v>9</v>
      </c>
    </row>
    <row r="69" spans="1:7" x14ac:dyDescent="0.2">
      <c r="A69" s="5" t="s">
        <v>229</v>
      </c>
      <c r="B69" s="5"/>
      <c r="C69" s="5"/>
      <c r="D69" s="5"/>
      <c r="E69" s="5"/>
      <c r="F69" s="5"/>
      <c r="G69" s="5"/>
    </row>
    <row r="70" spans="1:7" ht="28" x14ac:dyDescent="0.2">
      <c r="A70" s="7" t="s">
        <v>230</v>
      </c>
      <c r="B70" s="8" t="s">
        <v>231</v>
      </c>
      <c r="C70" s="8" t="s">
        <v>232</v>
      </c>
      <c r="D70" s="8" t="s">
        <v>233</v>
      </c>
      <c r="E70" s="8" t="s">
        <v>42</v>
      </c>
      <c r="F70" s="8" t="s">
        <v>234</v>
      </c>
      <c r="G70" s="9">
        <v>6</v>
      </c>
    </row>
    <row r="71" spans="1:7" ht="28" x14ac:dyDescent="0.2">
      <c r="A71" s="10" t="s">
        <v>235</v>
      </c>
      <c r="B71" s="11" t="s">
        <v>231</v>
      </c>
      <c r="C71" s="11" t="s">
        <v>236</v>
      </c>
      <c r="D71" s="11" t="s">
        <v>237</v>
      </c>
      <c r="E71" s="11" t="s">
        <v>17</v>
      </c>
      <c r="F71" s="11" t="s">
        <v>76</v>
      </c>
      <c r="G71" s="12">
        <v>6</v>
      </c>
    </row>
    <row r="72" spans="1:7" ht="28" x14ac:dyDescent="0.2">
      <c r="A72" s="7" t="s">
        <v>238</v>
      </c>
      <c r="B72" s="8" t="s">
        <v>231</v>
      </c>
      <c r="C72" s="8" t="s">
        <v>239</v>
      </c>
      <c r="D72" s="8" t="s">
        <v>240</v>
      </c>
      <c r="E72" s="8" t="s">
        <v>241</v>
      </c>
      <c r="F72" s="8" t="s">
        <v>58</v>
      </c>
      <c r="G72" s="9">
        <v>6</v>
      </c>
    </row>
    <row r="73" spans="1:7" ht="28" x14ac:dyDescent="0.2">
      <c r="A73" s="10" t="s">
        <v>242</v>
      </c>
      <c r="B73" s="11" t="s">
        <v>231</v>
      </c>
      <c r="C73" s="11" t="s">
        <v>243</v>
      </c>
      <c r="D73" s="11" t="s">
        <v>244</v>
      </c>
      <c r="E73" s="11" t="s">
        <v>49</v>
      </c>
      <c r="F73" s="11" t="s">
        <v>58</v>
      </c>
      <c r="G73" s="12">
        <v>6</v>
      </c>
    </row>
    <row r="74" spans="1:7" ht="28" x14ac:dyDescent="0.2">
      <c r="A74" s="7" t="s">
        <v>245</v>
      </c>
      <c r="B74" s="8" t="s">
        <v>231</v>
      </c>
      <c r="C74" s="8" t="s">
        <v>246</v>
      </c>
      <c r="D74" s="8" t="s">
        <v>247</v>
      </c>
      <c r="E74" s="8" t="s">
        <v>17</v>
      </c>
      <c r="F74" s="8" t="s">
        <v>248</v>
      </c>
      <c r="G74" s="9">
        <v>6</v>
      </c>
    </row>
    <row r="75" spans="1:7" ht="28" x14ac:dyDescent="0.2">
      <c r="A75" s="10" t="s">
        <v>249</v>
      </c>
      <c r="B75" s="11" t="s">
        <v>231</v>
      </c>
      <c r="C75" s="11" t="s">
        <v>250</v>
      </c>
      <c r="D75" s="11" t="s">
        <v>251</v>
      </c>
      <c r="E75" s="11" t="s">
        <v>252</v>
      </c>
      <c r="F75" s="11" t="s">
        <v>253</v>
      </c>
      <c r="G75" s="12">
        <v>6</v>
      </c>
    </row>
    <row r="77" spans="1:7" x14ac:dyDescent="0.2">
      <c r="A77" s="5" t="s">
        <v>254</v>
      </c>
      <c r="B77" s="5"/>
      <c r="C77" s="5"/>
      <c r="D77" s="5"/>
      <c r="E77" s="5"/>
      <c r="F77" s="5"/>
      <c r="G77" s="5"/>
    </row>
    <row r="78" spans="1:7" ht="28" x14ac:dyDescent="0.2">
      <c r="A78" s="7" t="s">
        <v>255</v>
      </c>
      <c r="B78" s="8" t="s">
        <v>256</v>
      </c>
      <c r="C78" s="8" t="s">
        <v>257</v>
      </c>
      <c r="D78" s="8" t="s">
        <v>258</v>
      </c>
      <c r="E78" s="8" t="s">
        <v>259</v>
      </c>
      <c r="F78" s="8" t="s">
        <v>260</v>
      </c>
      <c r="G78" s="9">
        <v>7</v>
      </c>
    </row>
    <row r="79" spans="1:7" ht="28" x14ac:dyDescent="0.2">
      <c r="A79" s="10" t="s">
        <v>261</v>
      </c>
      <c r="B79" s="11" t="s">
        <v>256</v>
      </c>
      <c r="C79" s="11" t="s">
        <v>262</v>
      </c>
      <c r="D79" s="11" t="s">
        <v>263</v>
      </c>
      <c r="E79" s="11" t="s">
        <v>264</v>
      </c>
      <c r="F79" s="11" t="s">
        <v>260</v>
      </c>
      <c r="G79" s="12">
        <v>7</v>
      </c>
    </row>
    <row r="80" spans="1:7" ht="28" x14ac:dyDescent="0.2">
      <c r="A80" s="7" t="s">
        <v>265</v>
      </c>
      <c r="B80" s="8" t="s">
        <v>256</v>
      </c>
      <c r="C80" s="8" t="s">
        <v>266</v>
      </c>
      <c r="D80" s="8" t="s">
        <v>267</v>
      </c>
      <c r="E80" s="8" t="s">
        <v>268</v>
      </c>
      <c r="F80" s="8" t="s">
        <v>269</v>
      </c>
      <c r="G80" s="9">
        <v>7</v>
      </c>
    </row>
    <row r="81" spans="1:7" ht="28" x14ac:dyDescent="0.2">
      <c r="A81" s="10" t="s">
        <v>270</v>
      </c>
      <c r="B81" s="11" t="s">
        <v>256</v>
      </c>
      <c r="C81" s="11" t="s">
        <v>271</v>
      </c>
      <c r="D81" s="11" t="s">
        <v>272</v>
      </c>
      <c r="E81" s="11" t="s">
        <v>273</v>
      </c>
      <c r="F81" s="11" t="s">
        <v>269</v>
      </c>
      <c r="G81" s="12">
        <v>7</v>
      </c>
    </row>
    <row r="82" spans="1:7" ht="28" x14ac:dyDescent="0.2">
      <c r="A82" s="7" t="s">
        <v>274</v>
      </c>
      <c r="B82" s="8" t="s">
        <v>256</v>
      </c>
      <c r="C82" s="8" t="s">
        <v>275</v>
      </c>
      <c r="D82" s="8" t="s">
        <v>276</v>
      </c>
      <c r="E82" s="8" t="s">
        <v>49</v>
      </c>
      <c r="F82" s="8" t="s">
        <v>277</v>
      </c>
      <c r="G82" s="9">
        <v>7</v>
      </c>
    </row>
    <row r="83" spans="1:7" ht="28" x14ac:dyDescent="0.2">
      <c r="A83" s="10" t="s">
        <v>278</v>
      </c>
      <c r="B83" s="11" t="s">
        <v>256</v>
      </c>
      <c r="C83" s="11" t="s">
        <v>279</v>
      </c>
      <c r="D83" s="11" t="s">
        <v>280</v>
      </c>
      <c r="E83" s="11" t="s">
        <v>49</v>
      </c>
      <c r="F83" s="11" t="s">
        <v>281</v>
      </c>
      <c r="G83" s="12">
        <v>7</v>
      </c>
    </row>
    <row r="84" spans="1:7" ht="28" x14ac:dyDescent="0.2">
      <c r="A84" s="7" t="s">
        <v>282</v>
      </c>
      <c r="B84" s="8" t="s">
        <v>256</v>
      </c>
      <c r="C84" s="8" t="s">
        <v>283</v>
      </c>
      <c r="D84" s="8" t="s">
        <v>284</v>
      </c>
      <c r="E84" s="8" t="s">
        <v>285</v>
      </c>
      <c r="F84" s="8" t="s">
        <v>286</v>
      </c>
      <c r="G84" s="9">
        <v>7</v>
      </c>
    </row>
    <row r="86" spans="1:7" x14ac:dyDescent="0.2">
      <c r="A86" s="5" t="s">
        <v>287</v>
      </c>
      <c r="B86" s="5"/>
      <c r="C86" s="5"/>
      <c r="D86" s="5"/>
      <c r="E86" s="5"/>
      <c r="F86" s="5"/>
      <c r="G86" s="5"/>
    </row>
    <row r="87" spans="1:7" ht="28" x14ac:dyDescent="0.2">
      <c r="A87" s="7" t="s">
        <v>288</v>
      </c>
      <c r="B87" s="8" t="s">
        <v>289</v>
      </c>
      <c r="C87" s="8" t="s">
        <v>290</v>
      </c>
      <c r="D87" s="8" t="s">
        <v>291</v>
      </c>
      <c r="E87" s="8" t="s">
        <v>292</v>
      </c>
      <c r="F87" s="8" t="s">
        <v>293</v>
      </c>
      <c r="G87" s="9">
        <v>6</v>
      </c>
    </row>
    <row r="88" spans="1:7" ht="28" x14ac:dyDescent="0.2">
      <c r="A88" s="10" t="s">
        <v>294</v>
      </c>
      <c r="B88" s="11" t="s">
        <v>289</v>
      </c>
      <c r="C88" s="11" t="s">
        <v>295</v>
      </c>
      <c r="D88" s="11" t="s">
        <v>296</v>
      </c>
      <c r="E88" s="11" t="s">
        <v>297</v>
      </c>
      <c r="F88" s="11" t="s">
        <v>298</v>
      </c>
      <c r="G88" s="12">
        <v>6</v>
      </c>
    </row>
    <row r="89" spans="1:7" ht="28" x14ac:dyDescent="0.2">
      <c r="A89" s="7" t="s">
        <v>299</v>
      </c>
      <c r="B89" s="8" t="s">
        <v>289</v>
      </c>
      <c r="C89" s="8" t="s">
        <v>300</v>
      </c>
      <c r="D89" s="8" t="s">
        <v>301</v>
      </c>
      <c r="E89" s="8" t="s">
        <v>17</v>
      </c>
      <c r="F89" s="8" t="s">
        <v>302</v>
      </c>
      <c r="G89" s="9">
        <v>6</v>
      </c>
    </row>
    <row r="90" spans="1:7" ht="28" x14ac:dyDescent="0.2">
      <c r="A90" s="10" t="s">
        <v>303</v>
      </c>
      <c r="B90" s="11" t="s">
        <v>289</v>
      </c>
      <c r="C90" s="11" t="s">
        <v>304</v>
      </c>
      <c r="D90" s="11" t="s">
        <v>305</v>
      </c>
      <c r="E90" s="11" t="s">
        <v>17</v>
      </c>
      <c r="F90" s="11" t="s">
        <v>306</v>
      </c>
      <c r="G90" s="12">
        <v>6</v>
      </c>
    </row>
    <row r="91" spans="1:7" ht="28" x14ac:dyDescent="0.2">
      <c r="A91" s="7" t="s">
        <v>307</v>
      </c>
      <c r="B91" s="8" t="s">
        <v>289</v>
      </c>
      <c r="C91" s="8" t="s">
        <v>308</v>
      </c>
      <c r="D91" s="8" t="s">
        <v>309</v>
      </c>
      <c r="E91" s="8" t="s">
        <v>17</v>
      </c>
      <c r="F91" s="8" t="s">
        <v>310</v>
      </c>
      <c r="G91" s="9">
        <v>6</v>
      </c>
    </row>
    <row r="92" spans="1:7" ht="28" x14ac:dyDescent="0.2">
      <c r="A92" s="10" t="s">
        <v>311</v>
      </c>
      <c r="B92" s="11" t="s">
        <v>289</v>
      </c>
      <c r="C92" s="11" t="s">
        <v>312</v>
      </c>
      <c r="D92" s="11" t="s">
        <v>313</v>
      </c>
      <c r="E92" s="11" t="s">
        <v>314</v>
      </c>
      <c r="F92" s="11" t="s">
        <v>315</v>
      </c>
      <c r="G92" s="12">
        <v>6</v>
      </c>
    </row>
    <row r="94" spans="1:7" x14ac:dyDescent="0.2">
      <c r="A94" s="5" t="s">
        <v>316</v>
      </c>
      <c r="B94" s="5"/>
      <c r="C94" s="5"/>
      <c r="D94" s="5"/>
      <c r="E94" s="5"/>
      <c r="F94" s="5"/>
      <c r="G94" s="5"/>
    </row>
    <row r="95" spans="1:7" ht="28" x14ac:dyDescent="0.2">
      <c r="A95" s="7" t="s">
        <v>317</v>
      </c>
      <c r="B95" s="8" t="s">
        <v>318</v>
      </c>
      <c r="C95" s="8" t="s">
        <v>319</v>
      </c>
      <c r="D95" s="8" t="s">
        <v>320</v>
      </c>
      <c r="E95" s="8" t="s">
        <v>321</v>
      </c>
      <c r="F95" s="8" t="s">
        <v>322</v>
      </c>
      <c r="G95" s="9">
        <v>6</v>
      </c>
    </row>
    <row r="96" spans="1:7" ht="28" x14ac:dyDescent="0.2">
      <c r="A96" s="10" t="s">
        <v>323</v>
      </c>
      <c r="B96" s="11" t="s">
        <v>318</v>
      </c>
      <c r="C96" s="11" t="s">
        <v>324</v>
      </c>
      <c r="D96" s="11" t="s">
        <v>325</v>
      </c>
      <c r="E96" s="11" t="s">
        <v>17</v>
      </c>
      <c r="F96" s="11" t="s">
        <v>322</v>
      </c>
      <c r="G96" s="12">
        <v>6</v>
      </c>
    </row>
    <row r="97" spans="1:7" ht="28" x14ac:dyDescent="0.2">
      <c r="A97" s="7" t="s">
        <v>326</v>
      </c>
      <c r="B97" s="8" t="s">
        <v>318</v>
      </c>
      <c r="C97" s="8" t="s">
        <v>327</v>
      </c>
      <c r="D97" s="8" t="s">
        <v>328</v>
      </c>
      <c r="E97" s="8" t="s">
        <v>17</v>
      </c>
      <c r="F97" s="8" t="s">
        <v>329</v>
      </c>
      <c r="G97" s="9">
        <v>6</v>
      </c>
    </row>
    <row r="98" spans="1:7" ht="28" x14ac:dyDescent="0.2">
      <c r="A98" s="10" t="s">
        <v>330</v>
      </c>
      <c r="B98" s="11" t="s">
        <v>318</v>
      </c>
      <c r="C98" s="11" t="s">
        <v>331</v>
      </c>
      <c r="D98" s="11" t="s">
        <v>332</v>
      </c>
      <c r="E98" s="11" t="s">
        <v>17</v>
      </c>
      <c r="F98" s="11" t="s">
        <v>333</v>
      </c>
      <c r="G98" s="12">
        <v>6</v>
      </c>
    </row>
    <row r="99" spans="1:7" ht="28" x14ac:dyDescent="0.2">
      <c r="A99" s="7" t="s">
        <v>334</v>
      </c>
      <c r="B99" s="8" t="s">
        <v>318</v>
      </c>
      <c r="C99" s="8" t="s">
        <v>335</v>
      </c>
      <c r="D99" s="8" t="s">
        <v>336</v>
      </c>
      <c r="E99" s="8" t="s">
        <v>17</v>
      </c>
      <c r="F99" s="8" t="s">
        <v>337</v>
      </c>
      <c r="G99" s="9">
        <v>6</v>
      </c>
    </row>
    <row r="100" spans="1:7" ht="28" x14ac:dyDescent="0.2">
      <c r="A100" s="10" t="s">
        <v>338</v>
      </c>
      <c r="B100" s="11" t="s">
        <v>318</v>
      </c>
      <c r="C100" s="11" t="s">
        <v>339</v>
      </c>
      <c r="D100" s="11" t="s">
        <v>340</v>
      </c>
      <c r="E100" s="11" t="s">
        <v>17</v>
      </c>
      <c r="F100" s="11" t="s">
        <v>341</v>
      </c>
      <c r="G100" s="12">
        <v>6</v>
      </c>
    </row>
    <row r="102" spans="1:7" x14ac:dyDescent="0.2">
      <c r="A102" s="5" t="s">
        <v>342</v>
      </c>
      <c r="B102" s="5"/>
      <c r="C102" s="5"/>
      <c r="D102" s="5"/>
      <c r="E102" s="5"/>
      <c r="F102" s="5"/>
      <c r="G102" s="5"/>
    </row>
    <row r="103" spans="1:7" ht="28" x14ac:dyDescent="0.2">
      <c r="A103" s="7" t="s">
        <v>343</v>
      </c>
      <c r="B103" s="8" t="s">
        <v>344</v>
      </c>
      <c r="C103" s="8" t="s">
        <v>345</v>
      </c>
      <c r="D103" s="8" t="s">
        <v>346</v>
      </c>
      <c r="E103" s="8" t="s">
        <v>17</v>
      </c>
      <c r="F103" s="8" t="s">
        <v>347</v>
      </c>
      <c r="G103" s="9">
        <v>7</v>
      </c>
    </row>
    <row r="104" spans="1:7" ht="28" x14ac:dyDescent="0.2">
      <c r="A104" s="10" t="s">
        <v>348</v>
      </c>
      <c r="B104" s="11" t="s">
        <v>344</v>
      </c>
      <c r="C104" s="11" t="s">
        <v>349</v>
      </c>
      <c r="D104" s="11" t="s">
        <v>350</v>
      </c>
      <c r="E104" s="11" t="s">
        <v>252</v>
      </c>
      <c r="F104" s="11" t="s">
        <v>347</v>
      </c>
      <c r="G104" s="12">
        <v>7</v>
      </c>
    </row>
    <row r="105" spans="1:7" ht="28" x14ac:dyDescent="0.2">
      <c r="A105" s="7" t="s">
        <v>351</v>
      </c>
      <c r="B105" s="8" t="s">
        <v>344</v>
      </c>
      <c r="C105" s="8" t="s">
        <v>352</v>
      </c>
      <c r="D105" s="8" t="s">
        <v>353</v>
      </c>
      <c r="E105" s="8" t="s">
        <v>354</v>
      </c>
      <c r="F105" s="8" t="s">
        <v>347</v>
      </c>
      <c r="G105" s="9">
        <v>7</v>
      </c>
    </row>
    <row r="106" spans="1:7" ht="28" x14ac:dyDescent="0.2">
      <c r="A106" s="10" t="s">
        <v>355</v>
      </c>
      <c r="B106" s="11" t="s">
        <v>344</v>
      </c>
      <c r="C106" s="11" t="s">
        <v>356</v>
      </c>
      <c r="D106" s="11" t="s">
        <v>357</v>
      </c>
      <c r="E106" s="11" t="s">
        <v>358</v>
      </c>
      <c r="F106" s="11" t="s">
        <v>359</v>
      </c>
      <c r="G106" s="12">
        <v>7</v>
      </c>
    </row>
    <row r="107" spans="1:7" ht="28" x14ac:dyDescent="0.2">
      <c r="A107" s="7" t="s">
        <v>360</v>
      </c>
      <c r="B107" s="8" t="s">
        <v>344</v>
      </c>
      <c r="C107" s="8" t="s">
        <v>361</v>
      </c>
      <c r="D107" s="8" t="s">
        <v>362</v>
      </c>
      <c r="E107" s="8" t="s">
        <v>363</v>
      </c>
      <c r="F107" s="8" t="s">
        <v>364</v>
      </c>
      <c r="G107" s="9">
        <v>7</v>
      </c>
    </row>
    <row r="108" spans="1:7" ht="28" x14ac:dyDescent="0.2">
      <c r="A108" s="10" t="s">
        <v>365</v>
      </c>
      <c r="B108" s="11" t="s">
        <v>344</v>
      </c>
      <c r="C108" s="11" t="s">
        <v>366</v>
      </c>
      <c r="D108" s="11" t="s">
        <v>367</v>
      </c>
      <c r="E108" s="11" t="s">
        <v>49</v>
      </c>
      <c r="F108" s="11" t="s">
        <v>368</v>
      </c>
      <c r="G108" s="12">
        <v>7</v>
      </c>
    </row>
    <row r="109" spans="1:7" ht="28" x14ac:dyDescent="0.2">
      <c r="A109" s="7" t="s">
        <v>369</v>
      </c>
      <c r="B109" s="8" t="s">
        <v>344</v>
      </c>
      <c r="C109" s="8" t="s">
        <v>370</v>
      </c>
      <c r="D109" s="8" t="s">
        <v>371</v>
      </c>
      <c r="E109" s="8" t="s">
        <v>17</v>
      </c>
      <c r="F109" s="8" t="s">
        <v>372</v>
      </c>
      <c r="G109" s="9">
        <v>7</v>
      </c>
    </row>
    <row r="111" spans="1:7" x14ac:dyDescent="0.2">
      <c r="A111" s="5" t="s">
        <v>373</v>
      </c>
      <c r="B111" s="5"/>
      <c r="C111" s="5"/>
      <c r="D111" s="5"/>
      <c r="E111" s="5"/>
      <c r="F111" s="5"/>
      <c r="G111" s="5"/>
    </row>
    <row r="112" spans="1:7" ht="28" x14ac:dyDescent="0.2">
      <c r="A112" s="7" t="s">
        <v>374</v>
      </c>
      <c r="B112" s="8" t="s">
        <v>375</v>
      </c>
      <c r="C112" s="8" t="s">
        <v>376</v>
      </c>
      <c r="D112" s="8" t="s">
        <v>377</v>
      </c>
      <c r="E112" s="8" t="s">
        <v>378</v>
      </c>
      <c r="F112" s="8" t="s">
        <v>379</v>
      </c>
      <c r="G112" s="9">
        <v>8</v>
      </c>
    </row>
    <row r="113" spans="1:7" ht="28" x14ac:dyDescent="0.2">
      <c r="A113" s="10" t="s">
        <v>380</v>
      </c>
      <c r="B113" s="11" t="s">
        <v>375</v>
      </c>
      <c r="C113" s="11" t="s">
        <v>381</v>
      </c>
      <c r="D113" s="11" t="s">
        <v>382</v>
      </c>
      <c r="E113" s="11" t="s">
        <v>17</v>
      </c>
      <c r="F113" s="11" t="s">
        <v>383</v>
      </c>
      <c r="G113" s="12">
        <v>8</v>
      </c>
    </row>
    <row r="114" spans="1:7" ht="28" x14ac:dyDescent="0.2">
      <c r="A114" s="7" t="s">
        <v>384</v>
      </c>
      <c r="B114" s="8" t="s">
        <v>375</v>
      </c>
      <c r="C114" s="8" t="s">
        <v>385</v>
      </c>
      <c r="D114" s="8" t="s">
        <v>386</v>
      </c>
      <c r="E114" s="8" t="s">
        <v>387</v>
      </c>
      <c r="F114" s="8" t="s">
        <v>383</v>
      </c>
      <c r="G114" s="9">
        <v>8</v>
      </c>
    </row>
    <row r="115" spans="1:7" ht="28" x14ac:dyDescent="0.2">
      <c r="A115" s="10" t="s">
        <v>388</v>
      </c>
      <c r="B115" s="11" t="s">
        <v>375</v>
      </c>
      <c r="C115" s="11" t="s">
        <v>389</v>
      </c>
      <c r="D115" s="11" t="s">
        <v>390</v>
      </c>
      <c r="E115" s="11" t="s">
        <v>391</v>
      </c>
      <c r="F115" s="11" t="s">
        <v>392</v>
      </c>
      <c r="G115" s="12">
        <v>8</v>
      </c>
    </row>
    <row r="116" spans="1:7" ht="28" x14ac:dyDescent="0.2">
      <c r="A116" s="7" t="s">
        <v>393</v>
      </c>
      <c r="B116" s="8" t="s">
        <v>375</v>
      </c>
      <c r="C116" s="8" t="s">
        <v>394</v>
      </c>
      <c r="D116" s="8" t="s">
        <v>395</v>
      </c>
      <c r="E116" s="8" t="s">
        <v>391</v>
      </c>
      <c r="F116" s="8" t="s">
        <v>383</v>
      </c>
      <c r="G116" s="9">
        <v>8</v>
      </c>
    </row>
    <row r="117" spans="1:7" ht="28" x14ac:dyDescent="0.2">
      <c r="A117" s="10" t="s">
        <v>396</v>
      </c>
      <c r="B117" s="11" t="s">
        <v>375</v>
      </c>
      <c r="C117" s="11" t="s">
        <v>397</v>
      </c>
      <c r="D117" s="11" t="s">
        <v>398</v>
      </c>
      <c r="E117" s="11" t="s">
        <v>17</v>
      </c>
      <c r="F117" s="11" t="s">
        <v>399</v>
      </c>
      <c r="G117" s="12">
        <v>8</v>
      </c>
    </row>
    <row r="118" spans="1:7" ht="28" x14ac:dyDescent="0.2">
      <c r="A118" s="7" t="s">
        <v>400</v>
      </c>
      <c r="B118" s="8" t="s">
        <v>375</v>
      </c>
      <c r="C118" s="8" t="s">
        <v>401</v>
      </c>
      <c r="D118" s="8" t="s">
        <v>402</v>
      </c>
      <c r="E118" s="8" t="s">
        <v>403</v>
      </c>
      <c r="F118" s="8" t="s">
        <v>404</v>
      </c>
      <c r="G118" s="9">
        <v>8</v>
      </c>
    </row>
    <row r="119" spans="1:7" ht="42" x14ac:dyDescent="0.2">
      <c r="A119" s="10" t="s">
        <v>405</v>
      </c>
      <c r="B119" s="11" t="s">
        <v>375</v>
      </c>
      <c r="C119" s="11" t="s">
        <v>406</v>
      </c>
      <c r="D119" s="11" t="s">
        <v>407</v>
      </c>
      <c r="E119" s="11" t="s">
        <v>17</v>
      </c>
      <c r="F119" s="11" t="s">
        <v>408</v>
      </c>
      <c r="G119" s="12">
        <v>8</v>
      </c>
    </row>
    <row r="121" spans="1:7" x14ac:dyDescent="0.2">
      <c r="A121" s="5" t="s">
        <v>409</v>
      </c>
      <c r="B121" s="5"/>
      <c r="C121" s="5"/>
      <c r="D121" s="5"/>
      <c r="E121" s="5"/>
      <c r="F121" s="5"/>
      <c r="G121" s="5"/>
    </row>
    <row r="122" spans="1:7" ht="28" x14ac:dyDescent="0.2">
      <c r="A122" s="7" t="s">
        <v>410</v>
      </c>
      <c r="B122" s="8" t="s">
        <v>411</v>
      </c>
      <c r="C122" s="8" t="s">
        <v>412</v>
      </c>
      <c r="D122" s="8" t="s">
        <v>413</v>
      </c>
      <c r="E122" s="8" t="s">
        <v>42</v>
      </c>
      <c r="F122" s="8" t="s">
        <v>414</v>
      </c>
      <c r="G122" s="9">
        <v>7</v>
      </c>
    </row>
    <row r="123" spans="1:7" ht="28" x14ac:dyDescent="0.2">
      <c r="A123" s="10" t="s">
        <v>415</v>
      </c>
      <c r="B123" s="11" t="s">
        <v>411</v>
      </c>
      <c r="C123" s="11" t="s">
        <v>416</v>
      </c>
      <c r="D123" s="11" t="s">
        <v>417</v>
      </c>
      <c r="E123" s="11" t="s">
        <v>17</v>
      </c>
      <c r="F123" s="11" t="s">
        <v>418</v>
      </c>
      <c r="G123" s="12">
        <v>7</v>
      </c>
    </row>
    <row r="124" spans="1:7" ht="28" x14ac:dyDescent="0.2">
      <c r="A124" s="7" t="s">
        <v>419</v>
      </c>
      <c r="B124" s="8" t="s">
        <v>411</v>
      </c>
      <c r="C124" s="8" t="s">
        <v>78</v>
      </c>
      <c r="D124" s="8" t="s">
        <v>420</v>
      </c>
      <c r="E124" s="8" t="s">
        <v>17</v>
      </c>
      <c r="F124" s="8" t="s">
        <v>421</v>
      </c>
      <c r="G124" s="9">
        <v>7</v>
      </c>
    </row>
    <row r="125" spans="1:7" ht="28" x14ac:dyDescent="0.2">
      <c r="A125" s="10" t="s">
        <v>422</v>
      </c>
      <c r="B125" s="11" t="s">
        <v>411</v>
      </c>
      <c r="C125" s="11" t="s">
        <v>90</v>
      </c>
      <c r="D125" s="11" t="s">
        <v>423</v>
      </c>
      <c r="E125" s="11" t="s">
        <v>49</v>
      </c>
      <c r="F125" s="11" t="s">
        <v>53</v>
      </c>
      <c r="G125" s="12">
        <v>7</v>
      </c>
    </row>
    <row r="126" spans="1:7" ht="28" x14ac:dyDescent="0.2">
      <c r="A126" s="7" t="s">
        <v>424</v>
      </c>
      <c r="B126" s="8" t="s">
        <v>411</v>
      </c>
      <c r="C126" s="8" t="s">
        <v>96</v>
      </c>
      <c r="D126" s="8" t="s">
        <v>425</v>
      </c>
      <c r="E126" s="8" t="s">
        <v>49</v>
      </c>
      <c r="F126" s="8" t="s">
        <v>426</v>
      </c>
      <c r="G126" s="9">
        <v>7</v>
      </c>
    </row>
    <row r="127" spans="1:7" ht="28" x14ac:dyDescent="0.2">
      <c r="A127" s="10" t="s">
        <v>427</v>
      </c>
      <c r="B127" s="11" t="s">
        <v>411</v>
      </c>
      <c r="C127" s="11" t="s">
        <v>428</v>
      </c>
      <c r="D127" s="11" t="s">
        <v>429</v>
      </c>
      <c r="E127" s="11" t="s">
        <v>430</v>
      </c>
      <c r="F127" s="11" t="s">
        <v>431</v>
      </c>
      <c r="G127" s="12">
        <v>7</v>
      </c>
    </row>
    <row r="128" spans="1:7" ht="28" x14ac:dyDescent="0.2">
      <c r="A128" s="7" t="s">
        <v>432</v>
      </c>
      <c r="B128" s="8" t="s">
        <v>411</v>
      </c>
      <c r="C128" s="8" t="s">
        <v>433</v>
      </c>
      <c r="D128" s="8" t="s">
        <v>434</v>
      </c>
      <c r="E128" s="8" t="s">
        <v>49</v>
      </c>
      <c r="F128" s="8" t="s">
        <v>414</v>
      </c>
      <c r="G128" s="9">
        <v>7</v>
      </c>
    </row>
    <row r="130" spans="1:7" x14ac:dyDescent="0.2">
      <c r="A130" s="5" t="s">
        <v>435</v>
      </c>
      <c r="B130" s="5"/>
      <c r="C130" s="5"/>
      <c r="D130" s="5"/>
      <c r="E130" s="5"/>
      <c r="F130" s="5"/>
      <c r="G130" s="5"/>
    </row>
    <row r="131" spans="1:7" ht="28" x14ac:dyDescent="0.2">
      <c r="A131" s="7" t="s">
        <v>436</v>
      </c>
      <c r="B131" s="8" t="s">
        <v>437</v>
      </c>
      <c r="C131" s="8" t="s">
        <v>438</v>
      </c>
      <c r="D131" s="8" t="s">
        <v>439</v>
      </c>
      <c r="E131" s="8" t="s">
        <v>440</v>
      </c>
      <c r="F131" s="8" t="s">
        <v>441</v>
      </c>
      <c r="G131" s="9">
        <v>6</v>
      </c>
    </row>
    <row r="132" spans="1:7" ht="28" x14ac:dyDescent="0.2">
      <c r="A132" s="10" t="s">
        <v>442</v>
      </c>
      <c r="B132" s="11" t="s">
        <v>437</v>
      </c>
      <c r="C132" s="11" t="s">
        <v>443</v>
      </c>
      <c r="D132" s="11" t="s">
        <v>444</v>
      </c>
      <c r="E132" s="11" t="s">
        <v>445</v>
      </c>
      <c r="F132" s="11" t="s">
        <v>441</v>
      </c>
      <c r="G132" s="12">
        <v>6</v>
      </c>
    </row>
    <row r="133" spans="1:7" ht="28" x14ac:dyDescent="0.2">
      <c r="A133" s="7" t="s">
        <v>446</v>
      </c>
      <c r="B133" s="8" t="s">
        <v>437</v>
      </c>
      <c r="C133" s="8" t="s">
        <v>447</v>
      </c>
      <c r="D133" s="8" t="s">
        <v>448</v>
      </c>
      <c r="E133" s="8" t="s">
        <v>449</v>
      </c>
      <c r="F133" s="8" t="s">
        <v>441</v>
      </c>
      <c r="G133" s="9">
        <v>6</v>
      </c>
    </row>
    <row r="134" spans="1:7" ht="28" x14ac:dyDescent="0.2">
      <c r="A134" s="10" t="s">
        <v>450</v>
      </c>
      <c r="B134" s="11" t="s">
        <v>437</v>
      </c>
      <c r="C134" s="11" t="s">
        <v>451</v>
      </c>
      <c r="D134" s="11" t="s">
        <v>452</v>
      </c>
      <c r="E134" s="11" t="s">
        <v>49</v>
      </c>
      <c r="F134" s="11" t="s">
        <v>441</v>
      </c>
      <c r="G134" s="12">
        <v>6</v>
      </c>
    </row>
    <row r="135" spans="1:7" ht="28" x14ac:dyDescent="0.2">
      <c r="A135" s="7" t="s">
        <v>453</v>
      </c>
      <c r="B135" s="8" t="s">
        <v>437</v>
      </c>
      <c r="C135" s="8" t="s">
        <v>60</v>
      </c>
      <c r="D135" s="8" t="s">
        <v>454</v>
      </c>
      <c r="E135" s="8" t="s">
        <v>17</v>
      </c>
      <c r="F135" s="8" t="s">
        <v>455</v>
      </c>
      <c r="G135" s="9">
        <v>6</v>
      </c>
    </row>
    <row r="136" spans="1:7" ht="28" x14ac:dyDescent="0.2">
      <c r="A136" s="10" t="s">
        <v>456</v>
      </c>
      <c r="B136" s="11" t="s">
        <v>437</v>
      </c>
      <c r="C136" s="11" t="s">
        <v>457</v>
      </c>
      <c r="D136" s="11" t="s">
        <v>458</v>
      </c>
      <c r="E136" s="11" t="s">
        <v>17</v>
      </c>
      <c r="F136" s="11" t="s">
        <v>441</v>
      </c>
      <c r="G136" s="12">
        <v>6</v>
      </c>
    </row>
  </sheetData>
  <autoFilter ref="A1:G1" xr:uid="{00000000-0009-0000-0000-000000000000}"/>
  <mergeCells count="15">
    <mergeCell ref="A94:G94"/>
    <mergeCell ref="A102:G102"/>
    <mergeCell ref="A111:G111"/>
    <mergeCell ref="A121:G121"/>
    <mergeCell ref="A130:G130"/>
    <mergeCell ref="A49:G49"/>
    <mergeCell ref="A58:G58"/>
    <mergeCell ref="A69:G69"/>
    <mergeCell ref="A77:G77"/>
    <mergeCell ref="A86:G86"/>
    <mergeCell ref="A2:G2"/>
    <mergeCell ref="A12:G12"/>
    <mergeCell ref="A20:G20"/>
    <mergeCell ref="A30:G30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F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" customWidth="1"/>
    <col min="2" max="2" width="34" customWidth="1"/>
    <col min="3" max="3" width="14" customWidth="1"/>
    <col min="4" max="4" width="12" customWidth="1"/>
    <col min="5" max="5" width="38" customWidth="1"/>
    <col min="6" max="6" width="44" customWidth="1"/>
  </cols>
  <sheetData>
    <row r="1" spans="1:6" x14ac:dyDescent="0.2">
      <c r="A1" s="6" t="s">
        <v>459</v>
      </c>
      <c r="B1" s="6" t="s">
        <v>460</v>
      </c>
      <c r="C1" s="6" t="s">
        <v>461</v>
      </c>
      <c r="D1" s="6" t="s">
        <v>6</v>
      </c>
      <c r="E1" s="6" t="s">
        <v>462</v>
      </c>
      <c r="F1" s="6" t="s">
        <v>463</v>
      </c>
    </row>
    <row r="2" spans="1:6" ht="28" x14ac:dyDescent="0.2">
      <c r="A2" s="9">
        <v>1</v>
      </c>
      <c r="B2" s="9" t="s">
        <v>9</v>
      </c>
      <c r="C2" s="8" t="s">
        <v>464</v>
      </c>
      <c r="D2" s="8">
        <v>8</v>
      </c>
      <c r="E2" s="8" t="s">
        <v>465</v>
      </c>
      <c r="F2" s="8" t="s">
        <v>466</v>
      </c>
    </row>
    <row r="3" spans="1:6" ht="28" x14ac:dyDescent="0.2">
      <c r="A3" s="12">
        <v>2</v>
      </c>
      <c r="B3" s="12" t="s">
        <v>46</v>
      </c>
      <c r="C3" s="11" t="s">
        <v>467</v>
      </c>
      <c r="D3" s="11">
        <v>6</v>
      </c>
      <c r="E3" s="11" t="s">
        <v>468</v>
      </c>
      <c r="F3" s="11" t="s">
        <v>469</v>
      </c>
    </row>
    <row r="4" spans="1:6" ht="28" x14ac:dyDescent="0.2">
      <c r="A4" s="9">
        <v>3</v>
      </c>
      <c r="B4" s="9" t="s">
        <v>73</v>
      </c>
      <c r="C4" s="8" t="s">
        <v>470</v>
      </c>
      <c r="D4" s="8">
        <v>8</v>
      </c>
      <c r="E4" s="8" t="s">
        <v>471</v>
      </c>
      <c r="F4" s="8" t="s">
        <v>472</v>
      </c>
    </row>
    <row r="5" spans="1:6" ht="28" x14ac:dyDescent="0.2">
      <c r="A5" s="12">
        <v>4</v>
      </c>
      <c r="B5" s="12" t="s">
        <v>106</v>
      </c>
      <c r="C5" s="11" t="s">
        <v>473</v>
      </c>
      <c r="D5" s="11">
        <v>7</v>
      </c>
      <c r="E5" s="11" t="s">
        <v>474</v>
      </c>
      <c r="F5" s="11" t="s">
        <v>475</v>
      </c>
    </row>
    <row r="6" spans="1:6" ht="28" x14ac:dyDescent="0.2">
      <c r="A6" s="9">
        <v>5</v>
      </c>
      <c r="B6" s="9" t="s">
        <v>133</v>
      </c>
      <c r="C6" s="8" t="s">
        <v>476</v>
      </c>
      <c r="D6" s="8">
        <v>8</v>
      </c>
      <c r="E6" s="8" t="s">
        <v>477</v>
      </c>
      <c r="F6" s="8" t="s">
        <v>478</v>
      </c>
    </row>
    <row r="7" spans="1:6" ht="28" x14ac:dyDescent="0.2">
      <c r="A7" s="12">
        <v>6</v>
      </c>
      <c r="B7" s="12" t="s">
        <v>167</v>
      </c>
      <c r="C7" s="11" t="s">
        <v>479</v>
      </c>
      <c r="D7" s="11">
        <v>7</v>
      </c>
      <c r="E7" s="11" t="s">
        <v>480</v>
      </c>
      <c r="F7" s="11" t="s">
        <v>481</v>
      </c>
    </row>
    <row r="8" spans="1:6" ht="28" x14ac:dyDescent="0.2">
      <c r="A8" s="9">
        <v>7</v>
      </c>
      <c r="B8" s="9" t="s">
        <v>193</v>
      </c>
      <c r="C8" s="8" t="s">
        <v>482</v>
      </c>
      <c r="D8" s="8">
        <v>9</v>
      </c>
      <c r="E8" s="8" t="s">
        <v>483</v>
      </c>
      <c r="F8" s="8" t="s">
        <v>484</v>
      </c>
    </row>
    <row r="9" spans="1:6" ht="28" x14ac:dyDescent="0.2">
      <c r="A9" s="12">
        <v>8</v>
      </c>
      <c r="B9" s="12" t="s">
        <v>231</v>
      </c>
      <c r="C9" s="11" t="s">
        <v>485</v>
      </c>
      <c r="D9" s="11">
        <v>6</v>
      </c>
      <c r="E9" s="11" t="s">
        <v>486</v>
      </c>
      <c r="F9" s="11" t="s">
        <v>487</v>
      </c>
    </row>
    <row r="10" spans="1:6" ht="28" x14ac:dyDescent="0.2">
      <c r="A10" s="9">
        <v>9</v>
      </c>
      <c r="B10" s="9" t="s">
        <v>256</v>
      </c>
      <c r="C10" s="8" t="s">
        <v>488</v>
      </c>
      <c r="D10" s="8">
        <v>7</v>
      </c>
      <c r="E10" s="8" t="s">
        <v>489</v>
      </c>
      <c r="F10" s="8" t="s">
        <v>490</v>
      </c>
    </row>
    <row r="11" spans="1:6" ht="28" x14ac:dyDescent="0.2">
      <c r="A11" s="12">
        <v>10</v>
      </c>
      <c r="B11" s="12" t="s">
        <v>289</v>
      </c>
      <c r="C11" s="11" t="s">
        <v>491</v>
      </c>
      <c r="D11" s="11">
        <v>6</v>
      </c>
      <c r="E11" s="11" t="s">
        <v>492</v>
      </c>
      <c r="F11" s="11" t="s">
        <v>493</v>
      </c>
    </row>
    <row r="12" spans="1:6" ht="28" x14ac:dyDescent="0.2">
      <c r="A12" s="9">
        <v>11</v>
      </c>
      <c r="B12" s="9" t="s">
        <v>318</v>
      </c>
      <c r="C12" s="8" t="s">
        <v>494</v>
      </c>
      <c r="D12" s="8">
        <v>6</v>
      </c>
      <c r="E12" s="8" t="s">
        <v>495</v>
      </c>
      <c r="F12" s="8" t="s">
        <v>496</v>
      </c>
    </row>
    <row r="13" spans="1:6" ht="28" x14ac:dyDescent="0.2">
      <c r="A13" s="12">
        <v>12</v>
      </c>
      <c r="B13" s="12" t="s">
        <v>344</v>
      </c>
      <c r="C13" s="11" t="s">
        <v>497</v>
      </c>
      <c r="D13" s="11">
        <v>7</v>
      </c>
      <c r="E13" s="11" t="s">
        <v>498</v>
      </c>
      <c r="F13" s="11" t="s">
        <v>499</v>
      </c>
    </row>
    <row r="14" spans="1:6" ht="28" x14ac:dyDescent="0.2">
      <c r="A14" s="9">
        <v>13</v>
      </c>
      <c r="B14" s="9" t="s">
        <v>375</v>
      </c>
      <c r="C14" s="8" t="s">
        <v>500</v>
      </c>
      <c r="D14" s="8">
        <v>8</v>
      </c>
      <c r="E14" s="8" t="s">
        <v>501</v>
      </c>
      <c r="F14" s="8" t="s">
        <v>502</v>
      </c>
    </row>
    <row r="15" spans="1:6" ht="28" x14ac:dyDescent="0.2">
      <c r="A15" s="12">
        <v>14</v>
      </c>
      <c r="B15" s="12" t="s">
        <v>411</v>
      </c>
      <c r="C15" s="11" t="s">
        <v>503</v>
      </c>
      <c r="D15" s="11">
        <v>7</v>
      </c>
      <c r="E15" s="11" t="s">
        <v>504</v>
      </c>
      <c r="F15" s="11" t="s">
        <v>505</v>
      </c>
    </row>
    <row r="16" spans="1:6" ht="28" x14ac:dyDescent="0.2">
      <c r="A16" s="9">
        <v>15</v>
      </c>
      <c r="B16" s="9" t="s">
        <v>437</v>
      </c>
      <c r="C16" s="8" t="s">
        <v>506</v>
      </c>
      <c r="D16" s="8">
        <v>6</v>
      </c>
      <c r="E16" s="8" t="s">
        <v>507</v>
      </c>
      <c r="F16" s="8" t="s">
        <v>508</v>
      </c>
    </row>
    <row r="17" spans="1:6" x14ac:dyDescent="0.2">
      <c r="A17" s="13"/>
      <c r="B17" s="14" t="s">
        <v>509</v>
      </c>
      <c r="C17" s="13"/>
      <c r="D17" s="15">
        <f>SUM(D2:D16)</f>
        <v>106</v>
      </c>
      <c r="E17" s="13"/>
      <c r="F17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G35"/>
  <sheetViews>
    <sheetView zoomScaleNormal="100" workbookViewId="0">
      <pane ySplit="3" topLeftCell="A4" activePane="bottomLeft" state="frozen"/>
      <selection pane="bottomLeft" sqref="A1:G1"/>
    </sheetView>
  </sheetViews>
  <sheetFormatPr baseColWidth="10" defaultColWidth="8.6640625" defaultRowHeight="15" customHeight="1" x14ac:dyDescent="0.2"/>
  <cols>
    <col min="1" max="1" width="14" customWidth="1"/>
    <col min="2" max="2" width="22" customWidth="1"/>
    <col min="3" max="3" width="30" customWidth="1"/>
    <col min="4" max="5" width="14" customWidth="1"/>
    <col min="6" max="6" width="16" customWidth="1"/>
    <col min="7" max="7" width="36" customWidth="1"/>
  </cols>
  <sheetData>
    <row r="1" spans="1:7" ht="17" x14ac:dyDescent="0.2">
      <c r="A1" s="4" t="s">
        <v>510</v>
      </c>
      <c r="B1" s="4"/>
      <c r="C1" s="4"/>
      <c r="D1" s="4"/>
      <c r="E1" s="4"/>
      <c r="F1" s="4"/>
      <c r="G1" s="4"/>
    </row>
    <row r="2" spans="1:7" ht="30" customHeight="1" x14ac:dyDescent="0.2">
      <c r="A2" s="3" t="s">
        <v>511</v>
      </c>
      <c r="B2" s="3"/>
      <c r="C2" s="3"/>
      <c r="D2" s="3"/>
      <c r="E2" s="3"/>
      <c r="F2" s="3"/>
      <c r="G2" s="3"/>
    </row>
    <row r="3" spans="1:7" x14ac:dyDescent="0.2">
      <c r="A3" s="6" t="s">
        <v>0</v>
      </c>
      <c r="B3" s="6" t="s">
        <v>512</v>
      </c>
      <c r="C3" s="6" t="s">
        <v>2</v>
      </c>
      <c r="D3" s="6" t="s">
        <v>513</v>
      </c>
      <c r="E3" s="6" t="s">
        <v>514</v>
      </c>
      <c r="F3" s="6" t="s">
        <v>515</v>
      </c>
      <c r="G3" s="6" t="s">
        <v>516</v>
      </c>
    </row>
    <row r="4" spans="1:7" x14ac:dyDescent="0.2">
      <c r="A4" s="8" t="s">
        <v>8</v>
      </c>
      <c r="B4" s="8" t="s">
        <v>517</v>
      </c>
      <c r="C4" s="8" t="s">
        <v>10</v>
      </c>
      <c r="D4" s="8" t="s">
        <v>518</v>
      </c>
      <c r="E4" s="16" t="s">
        <v>519</v>
      </c>
      <c r="F4" s="8" t="s">
        <v>520</v>
      </c>
      <c r="G4" s="8" t="s">
        <v>521</v>
      </c>
    </row>
    <row r="5" spans="1:7" ht="28" x14ac:dyDescent="0.2">
      <c r="A5" s="11" t="s">
        <v>14</v>
      </c>
      <c r="B5" s="11" t="s">
        <v>517</v>
      </c>
      <c r="C5" s="11" t="s">
        <v>15</v>
      </c>
      <c r="D5" s="11" t="s">
        <v>518</v>
      </c>
      <c r="E5" s="17" t="s">
        <v>522</v>
      </c>
      <c r="F5" s="11" t="s">
        <v>520</v>
      </c>
      <c r="G5" s="11" t="s">
        <v>523</v>
      </c>
    </row>
    <row r="6" spans="1:7" x14ac:dyDescent="0.2">
      <c r="A6" s="8" t="s">
        <v>18</v>
      </c>
      <c r="B6" s="8" t="s">
        <v>517</v>
      </c>
      <c r="C6" s="8" t="s">
        <v>19</v>
      </c>
      <c r="D6" s="8" t="s">
        <v>524</v>
      </c>
      <c r="E6" s="18" t="s">
        <v>525</v>
      </c>
      <c r="F6" s="8" t="s">
        <v>526</v>
      </c>
      <c r="G6" s="8" t="s">
        <v>527</v>
      </c>
    </row>
    <row r="7" spans="1:7" ht="28" x14ac:dyDescent="0.2">
      <c r="A7" s="11" t="s">
        <v>22</v>
      </c>
      <c r="B7" s="11" t="s">
        <v>517</v>
      </c>
      <c r="C7" s="11" t="s">
        <v>23</v>
      </c>
      <c r="D7" s="11" t="s">
        <v>518</v>
      </c>
      <c r="E7" s="19" t="s">
        <v>528</v>
      </c>
      <c r="F7" s="11" t="s">
        <v>529</v>
      </c>
      <c r="G7" s="11" t="s">
        <v>530</v>
      </c>
    </row>
    <row r="8" spans="1:7" x14ac:dyDescent="0.2">
      <c r="A8" s="8" t="s">
        <v>26</v>
      </c>
      <c r="B8" s="8" t="s">
        <v>517</v>
      </c>
      <c r="C8" s="8" t="s">
        <v>90</v>
      </c>
      <c r="D8" s="8" t="s">
        <v>49</v>
      </c>
      <c r="E8" s="16" t="s">
        <v>531</v>
      </c>
      <c r="F8" s="8" t="s">
        <v>532</v>
      </c>
      <c r="G8" s="8" t="s">
        <v>533</v>
      </c>
    </row>
    <row r="9" spans="1:7" x14ac:dyDescent="0.2">
      <c r="A9" s="11" t="s">
        <v>31</v>
      </c>
      <c r="B9" s="11" t="s">
        <v>517</v>
      </c>
      <c r="C9" s="11" t="s">
        <v>32</v>
      </c>
      <c r="D9" s="11" t="s">
        <v>518</v>
      </c>
      <c r="E9" s="19" t="s">
        <v>534</v>
      </c>
      <c r="F9" s="11" t="s">
        <v>529</v>
      </c>
      <c r="G9" s="11" t="s">
        <v>535</v>
      </c>
    </row>
    <row r="10" spans="1:7" x14ac:dyDescent="0.2">
      <c r="A10" s="8" t="s">
        <v>35</v>
      </c>
      <c r="B10" s="8" t="s">
        <v>517</v>
      </c>
      <c r="C10" s="8" t="s">
        <v>36</v>
      </c>
      <c r="D10" s="8" t="s">
        <v>518</v>
      </c>
      <c r="E10" s="16" t="s">
        <v>519</v>
      </c>
      <c r="F10" s="8" t="s">
        <v>536</v>
      </c>
      <c r="G10" s="8" t="s">
        <v>537</v>
      </c>
    </row>
    <row r="11" spans="1:7" x14ac:dyDescent="0.2">
      <c r="A11" s="11" t="s">
        <v>39</v>
      </c>
      <c r="B11" s="11" t="s">
        <v>517</v>
      </c>
      <c r="C11" s="11" t="s">
        <v>538</v>
      </c>
      <c r="D11" s="11" t="s">
        <v>518</v>
      </c>
      <c r="E11" s="20" t="s">
        <v>531</v>
      </c>
      <c r="F11" s="11" t="s">
        <v>539</v>
      </c>
      <c r="G11" s="11" t="s">
        <v>540</v>
      </c>
    </row>
    <row r="12" spans="1:7" x14ac:dyDescent="0.2">
      <c r="A12" s="8" t="s">
        <v>132</v>
      </c>
      <c r="B12" s="8" t="s">
        <v>541</v>
      </c>
      <c r="C12" s="8" t="s">
        <v>134</v>
      </c>
      <c r="D12" s="8" t="s">
        <v>529</v>
      </c>
      <c r="E12" s="21" t="s">
        <v>534</v>
      </c>
      <c r="F12" s="8" t="s">
        <v>542</v>
      </c>
      <c r="G12" s="8" t="s">
        <v>543</v>
      </c>
    </row>
    <row r="13" spans="1:7" x14ac:dyDescent="0.2">
      <c r="A13" s="11" t="s">
        <v>138</v>
      </c>
      <c r="B13" s="11" t="s">
        <v>541</v>
      </c>
      <c r="C13" s="11" t="s">
        <v>139</v>
      </c>
      <c r="D13" s="11" t="s">
        <v>49</v>
      </c>
      <c r="E13" s="22" t="s">
        <v>544</v>
      </c>
      <c r="F13" s="11" t="s">
        <v>529</v>
      </c>
      <c r="G13" s="11" t="s">
        <v>545</v>
      </c>
    </row>
    <row r="14" spans="1:7" x14ac:dyDescent="0.2">
      <c r="A14" s="8" t="s">
        <v>142</v>
      </c>
      <c r="B14" s="8" t="s">
        <v>541</v>
      </c>
      <c r="C14" s="8" t="s">
        <v>143</v>
      </c>
      <c r="D14" s="8" t="s">
        <v>49</v>
      </c>
      <c r="E14" s="21" t="s">
        <v>534</v>
      </c>
      <c r="F14" s="8" t="s">
        <v>532</v>
      </c>
      <c r="G14" s="8" t="s">
        <v>546</v>
      </c>
    </row>
    <row r="15" spans="1:7" x14ac:dyDescent="0.2">
      <c r="A15" s="11" t="s">
        <v>145</v>
      </c>
      <c r="B15" s="11" t="s">
        <v>541</v>
      </c>
      <c r="C15" s="11" t="s">
        <v>189</v>
      </c>
      <c r="D15" s="11" t="s">
        <v>547</v>
      </c>
      <c r="E15" s="19" t="s">
        <v>534</v>
      </c>
      <c r="F15" s="11" t="s">
        <v>548</v>
      </c>
      <c r="G15" s="11" t="s">
        <v>549</v>
      </c>
    </row>
    <row r="16" spans="1:7" x14ac:dyDescent="0.2">
      <c r="A16" s="8" t="s">
        <v>150</v>
      </c>
      <c r="B16" s="8" t="s">
        <v>541</v>
      </c>
      <c r="C16" s="8" t="s">
        <v>151</v>
      </c>
      <c r="D16" s="8" t="s">
        <v>529</v>
      </c>
      <c r="E16" s="21" t="s">
        <v>534</v>
      </c>
      <c r="F16" s="8" t="s">
        <v>550</v>
      </c>
      <c r="G16" s="8" t="s">
        <v>551</v>
      </c>
    </row>
    <row r="17" spans="1:7" ht="28" x14ac:dyDescent="0.2">
      <c r="A17" s="11" t="s">
        <v>155</v>
      </c>
      <c r="B17" s="11" t="s">
        <v>541</v>
      </c>
      <c r="C17" s="11" t="s">
        <v>96</v>
      </c>
      <c r="D17" s="11" t="s">
        <v>49</v>
      </c>
      <c r="E17" s="22" t="s">
        <v>552</v>
      </c>
      <c r="F17" s="11" t="s">
        <v>532</v>
      </c>
      <c r="G17" s="11" t="s">
        <v>553</v>
      </c>
    </row>
    <row r="18" spans="1:7" x14ac:dyDescent="0.2">
      <c r="A18" s="8" t="s">
        <v>157</v>
      </c>
      <c r="B18" s="8" t="s">
        <v>541</v>
      </c>
      <c r="C18" s="8" t="s">
        <v>554</v>
      </c>
      <c r="D18" s="8" t="s">
        <v>518</v>
      </c>
      <c r="E18" s="16" t="s">
        <v>531</v>
      </c>
      <c r="F18" s="8" t="s">
        <v>539</v>
      </c>
      <c r="G18" s="8" t="s">
        <v>555</v>
      </c>
    </row>
    <row r="19" spans="1:7" x14ac:dyDescent="0.2">
      <c r="A19" s="11" t="s">
        <v>160</v>
      </c>
      <c r="B19" s="11" t="s">
        <v>541</v>
      </c>
      <c r="C19" s="11" t="s">
        <v>556</v>
      </c>
      <c r="D19" s="11" t="s">
        <v>518</v>
      </c>
      <c r="E19" s="20" t="s">
        <v>531</v>
      </c>
      <c r="F19" s="11" t="s">
        <v>539</v>
      </c>
      <c r="G19" s="11" t="s">
        <v>557</v>
      </c>
    </row>
    <row r="20" spans="1:7" x14ac:dyDescent="0.2">
      <c r="A20" s="8" t="s">
        <v>192</v>
      </c>
      <c r="B20" s="8" t="s">
        <v>558</v>
      </c>
      <c r="C20" s="8" t="s">
        <v>194</v>
      </c>
      <c r="D20" s="8" t="s">
        <v>559</v>
      </c>
      <c r="E20" s="23" t="s">
        <v>544</v>
      </c>
      <c r="F20" s="8" t="s">
        <v>560</v>
      </c>
      <c r="G20" s="8" t="s">
        <v>561</v>
      </c>
    </row>
    <row r="21" spans="1:7" x14ac:dyDescent="0.2">
      <c r="A21" s="11" t="s">
        <v>198</v>
      </c>
      <c r="B21" s="11" t="s">
        <v>558</v>
      </c>
      <c r="C21" s="11" t="s">
        <v>562</v>
      </c>
      <c r="D21" s="11" t="s">
        <v>559</v>
      </c>
      <c r="E21" s="22" t="s">
        <v>544</v>
      </c>
      <c r="F21" s="11" t="s">
        <v>560</v>
      </c>
      <c r="G21" s="11" t="s">
        <v>563</v>
      </c>
    </row>
    <row r="22" spans="1:7" x14ac:dyDescent="0.2">
      <c r="A22" s="8" t="s">
        <v>203</v>
      </c>
      <c r="B22" s="8" t="s">
        <v>558</v>
      </c>
      <c r="C22" s="8" t="s">
        <v>204</v>
      </c>
      <c r="D22" s="8" t="s">
        <v>49</v>
      </c>
      <c r="E22" s="16" t="s">
        <v>531</v>
      </c>
      <c r="F22" s="8" t="s">
        <v>532</v>
      </c>
      <c r="G22" s="8" t="s">
        <v>564</v>
      </c>
    </row>
    <row r="23" spans="1:7" x14ac:dyDescent="0.2">
      <c r="A23" s="11" t="s">
        <v>207</v>
      </c>
      <c r="B23" s="11" t="s">
        <v>558</v>
      </c>
      <c r="C23" s="11" t="s">
        <v>565</v>
      </c>
      <c r="D23" s="11" t="s">
        <v>529</v>
      </c>
      <c r="E23" s="19" t="s">
        <v>534</v>
      </c>
      <c r="F23" s="11" t="s">
        <v>529</v>
      </c>
      <c r="G23" s="11" t="s">
        <v>566</v>
      </c>
    </row>
    <row r="24" spans="1:7" x14ac:dyDescent="0.2">
      <c r="A24" s="8" t="s">
        <v>210</v>
      </c>
      <c r="B24" s="8" t="s">
        <v>558</v>
      </c>
      <c r="C24" s="8" t="s">
        <v>567</v>
      </c>
      <c r="D24" s="8" t="s">
        <v>518</v>
      </c>
      <c r="E24" s="23" t="s">
        <v>544</v>
      </c>
      <c r="F24" s="8" t="s">
        <v>560</v>
      </c>
      <c r="G24" s="8" t="s">
        <v>568</v>
      </c>
    </row>
    <row r="25" spans="1:7" x14ac:dyDescent="0.2">
      <c r="A25" s="11" t="s">
        <v>214</v>
      </c>
      <c r="B25" s="11" t="s">
        <v>558</v>
      </c>
      <c r="C25" s="11" t="s">
        <v>569</v>
      </c>
      <c r="D25" s="11" t="s">
        <v>518</v>
      </c>
      <c r="E25" s="20" t="s">
        <v>519</v>
      </c>
      <c r="F25" s="11" t="s">
        <v>570</v>
      </c>
      <c r="G25" s="11" t="s">
        <v>571</v>
      </c>
    </row>
    <row r="26" spans="1:7" ht="28" x14ac:dyDescent="0.2">
      <c r="A26" s="8" t="s">
        <v>218</v>
      </c>
      <c r="B26" s="8" t="s">
        <v>558</v>
      </c>
      <c r="C26" s="8" t="s">
        <v>572</v>
      </c>
      <c r="D26" s="8" t="s">
        <v>49</v>
      </c>
      <c r="E26" s="21" t="s">
        <v>534</v>
      </c>
      <c r="F26" s="8" t="s">
        <v>532</v>
      </c>
      <c r="G26" s="8" t="s">
        <v>573</v>
      </c>
    </row>
    <row r="27" spans="1:7" ht="28" x14ac:dyDescent="0.2">
      <c r="A27" s="11" t="s">
        <v>222</v>
      </c>
      <c r="B27" s="11" t="s">
        <v>558</v>
      </c>
      <c r="C27" s="11" t="s">
        <v>574</v>
      </c>
      <c r="D27" s="11" t="s">
        <v>529</v>
      </c>
      <c r="E27" s="24" t="s">
        <v>575</v>
      </c>
      <c r="F27" s="11" t="s">
        <v>529</v>
      </c>
      <c r="G27" s="11" t="s">
        <v>576</v>
      </c>
    </row>
    <row r="28" spans="1:7" ht="28" x14ac:dyDescent="0.2">
      <c r="A28" s="8" t="s">
        <v>226</v>
      </c>
      <c r="B28" s="8" t="s">
        <v>558</v>
      </c>
      <c r="C28" s="8" t="s">
        <v>128</v>
      </c>
      <c r="D28" s="8" t="s">
        <v>518</v>
      </c>
      <c r="E28" s="16" t="s">
        <v>531</v>
      </c>
      <c r="F28" s="8" t="s">
        <v>539</v>
      </c>
      <c r="G28" s="8" t="s">
        <v>577</v>
      </c>
    </row>
    <row r="30" spans="1:7" x14ac:dyDescent="0.2">
      <c r="A30" s="2" t="s">
        <v>578</v>
      </c>
      <c r="B30" s="2"/>
      <c r="C30" s="2"/>
      <c r="D30" s="2"/>
      <c r="E30" s="2"/>
      <c r="F30" s="2"/>
      <c r="G30" s="2"/>
    </row>
    <row r="31" spans="1:7" x14ac:dyDescent="0.2">
      <c r="A31" s="25" t="s">
        <v>579</v>
      </c>
      <c r="B31" s="26">
        <v>25</v>
      </c>
    </row>
    <row r="32" spans="1:7" x14ac:dyDescent="0.2">
      <c r="A32" s="25" t="s">
        <v>580</v>
      </c>
      <c r="B32" s="26">
        <f>COUNTIF(E4:E28,"MET")+COUNTIF(E4:E28,"MET (shared)")</f>
        <v>8</v>
      </c>
    </row>
    <row r="33" spans="1:2" x14ac:dyDescent="0.2">
      <c r="A33" s="25" t="s">
        <v>581</v>
      </c>
      <c r="B33" s="26">
        <f>COUNTIF(E4:E28,"NOT MET")+COUNTIF(E4:E28,"OVERDUE")</f>
        <v>9</v>
      </c>
    </row>
    <row r="34" spans="1:2" x14ac:dyDescent="0.2">
      <c r="A34" s="25" t="s">
        <v>582</v>
      </c>
      <c r="B34" s="26">
        <f>COUNTIF(E4:E28,"DUE")+COUNTIF(E4:E28,"DUE SOON")+COUNTIF(E4:E28,"AT RISK")+COUNTIF(E4:E28,"ONGOING")</f>
        <v>7</v>
      </c>
    </row>
    <row r="35" spans="1:2" x14ac:dyDescent="0.2">
      <c r="A35" s="25" t="s">
        <v>583</v>
      </c>
      <c r="B35" s="27">
        <f>B32/B31</f>
        <v>0.32</v>
      </c>
    </row>
  </sheetData>
  <mergeCells count="3">
    <mergeCell ref="A1:G1"/>
    <mergeCell ref="A2:G2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C18"/>
  <sheetViews>
    <sheetView zoomScaleNormal="100" workbookViewId="0">
      <selection sqref="A1:C1"/>
    </sheetView>
  </sheetViews>
  <sheetFormatPr baseColWidth="10" defaultColWidth="8.6640625" defaultRowHeight="15" customHeight="1" x14ac:dyDescent="0.2"/>
  <cols>
    <col min="1" max="1" width="28" customWidth="1"/>
    <col min="2" max="2" width="48" customWidth="1"/>
    <col min="3" max="3" width="52" customWidth="1"/>
  </cols>
  <sheetData>
    <row r="1" spans="1:3" ht="15" customHeight="1" x14ac:dyDescent="0.2">
      <c r="A1" s="1" t="s">
        <v>584</v>
      </c>
      <c r="B1" s="1"/>
      <c r="C1" s="1"/>
    </row>
    <row r="2" spans="1:3" x14ac:dyDescent="0.2">
      <c r="A2" s="6" t="s">
        <v>585</v>
      </c>
      <c r="B2" s="6" t="s">
        <v>586</v>
      </c>
      <c r="C2" s="6" t="s">
        <v>587</v>
      </c>
    </row>
    <row r="3" spans="1:3" ht="28" x14ac:dyDescent="0.2">
      <c r="A3" s="8" t="s">
        <v>90</v>
      </c>
      <c r="B3" s="8" t="s">
        <v>588</v>
      </c>
      <c r="C3" s="8" t="s">
        <v>589</v>
      </c>
    </row>
    <row r="4" spans="1:3" ht="28" x14ac:dyDescent="0.2">
      <c r="A4" s="11" t="s">
        <v>590</v>
      </c>
      <c r="B4" s="11" t="s">
        <v>591</v>
      </c>
      <c r="C4" s="11" t="s">
        <v>592</v>
      </c>
    </row>
    <row r="5" spans="1:3" ht="28" x14ac:dyDescent="0.2">
      <c r="A5" s="8" t="s">
        <v>593</v>
      </c>
      <c r="B5" s="8" t="s">
        <v>594</v>
      </c>
      <c r="C5" s="8" t="s">
        <v>595</v>
      </c>
    </row>
    <row r="6" spans="1:3" ht="28" x14ac:dyDescent="0.2">
      <c r="A6" s="11" t="s">
        <v>596</v>
      </c>
      <c r="B6" s="11" t="s">
        <v>597</v>
      </c>
      <c r="C6" s="11" t="s">
        <v>598</v>
      </c>
    </row>
    <row r="7" spans="1:3" ht="28" x14ac:dyDescent="0.2">
      <c r="A7" s="8" t="s">
        <v>599</v>
      </c>
      <c r="B7" s="8" t="s">
        <v>600</v>
      </c>
      <c r="C7" s="8" t="s">
        <v>601</v>
      </c>
    </row>
    <row r="8" spans="1:3" ht="28" x14ac:dyDescent="0.2">
      <c r="A8" s="11" t="s">
        <v>602</v>
      </c>
      <c r="B8" s="11" t="s">
        <v>603</v>
      </c>
      <c r="C8" s="11" t="s">
        <v>604</v>
      </c>
    </row>
    <row r="9" spans="1:3" ht="28" x14ac:dyDescent="0.2">
      <c r="A9" s="8" t="s">
        <v>23</v>
      </c>
      <c r="B9" s="8" t="s">
        <v>605</v>
      </c>
      <c r="C9" s="8" t="s">
        <v>606</v>
      </c>
    </row>
    <row r="10" spans="1:3" ht="28" x14ac:dyDescent="0.2">
      <c r="A10" s="11" t="s">
        <v>607</v>
      </c>
      <c r="B10" s="11" t="s">
        <v>608</v>
      </c>
      <c r="C10" s="11" t="s">
        <v>609</v>
      </c>
    </row>
    <row r="11" spans="1:3" x14ac:dyDescent="0.2">
      <c r="A11" s="8" t="s">
        <v>60</v>
      </c>
      <c r="B11" s="8" t="s">
        <v>610</v>
      </c>
      <c r="C11" s="8" t="s">
        <v>611</v>
      </c>
    </row>
    <row r="12" spans="1:3" x14ac:dyDescent="0.2">
      <c r="A12" s="11" t="s">
        <v>189</v>
      </c>
      <c r="B12" s="11" t="s">
        <v>612</v>
      </c>
      <c r="C12" s="11" t="s">
        <v>613</v>
      </c>
    </row>
    <row r="13" spans="1:3" x14ac:dyDescent="0.2">
      <c r="A13" s="8" t="s">
        <v>151</v>
      </c>
      <c r="B13" s="8" t="s">
        <v>614</v>
      </c>
      <c r="C13" s="8" t="s">
        <v>615</v>
      </c>
    </row>
    <row r="14" spans="1:3" x14ac:dyDescent="0.2">
      <c r="A14" s="11" t="s">
        <v>616</v>
      </c>
      <c r="B14" s="11" t="s">
        <v>617</v>
      </c>
      <c r="C14" s="11" t="s">
        <v>618</v>
      </c>
    </row>
    <row r="15" spans="1:3" x14ac:dyDescent="0.2">
      <c r="A15" s="8" t="s">
        <v>308</v>
      </c>
      <c r="B15" s="8" t="s">
        <v>619</v>
      </c>
      <c r="C15" s="8" t="s">
        <v>620</v>
      </c>
    </row>
    <row r="16" spans="1:3" ht="28" x14ac:dyDescent="0.2">
      <c r="A16" s="11" t="s">
        <v>621</v>
      </c>
      <c r="B16" s="11" t="s">
        <v>622</v>
      </c>
      <c r="C16" s="11" t="s">
        <v>623</v>
      </c>
    </row>
    <row r="17" spans="1:3" ht="28" x14ac:dyDescent="0.2">
      <c r="A17" s="8" t="s">
        <v>624</v>
      </c>
      <c r="B17" s="8" t="s">
        <v>625</v>
      </c>
      <c r="C17" s="8" t="s">
        <v>626</v>
      </c>
    </row>
    <row r="18" spans="1:3" ht="28" x14ac:dyDescent="0.2">
      <c r="A18" s="11" t="s">
        <v>627</v>
      </c>
      <c r="B18" s="11" t="s">
        <v>628</v>
      </c>
      <c r="C18" s="11" t="s">
        <v>629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Care Gap Bundles</vt:lpstr>
      <vt:lpstr>Bundle Summary</vt:lpstr>
      <vt:lpstr>Patient Example</vt:lpstr>
      <vt:lpstr>Overlap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2026-02-26T01:50:50Z</dcterms:created>
  <dcterms:modified xsi:type="dcterms:W3CDTF">2026-02-26T02:04:54Z</dcterms:modified>
  <dc:language>en-US</dc:language>
</cp:coreProperties>
</file>